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péKONA\Documents\filiere_Architecture\KPI-Boond\"/>
    </mc:Choice>
  </mc:AlternateContent>
  <xr:revisionPtr revIDLastSave="0" documentId="13_ncr:1_{3500EF69-F2EB-4A5C-9846-6314BCFF4B85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Catalogue_KPI" sheetId="1" r:id="rId1"/>
    <sheet name="Audit_SMART" sheetId="2" r:id="rId2"/>
    <sheet name="Mapping Boond" sheetId="5" r:id="rId3"/>
    <sheet name="Saisie_Donnees" sheetId="3" r:id="rId4"/>
    <sheet name="Taxomonie" sheetId="6" r:id="rId5"/>
    <sheet name="Dashboard" sheetId="4" r:id="rId6"/>
  </sheets>
  <definedNames>
    <definedName name="_xlnm._FilterDatabase" localSheetId="1" hidden="1">Audit_SMART!$A$1:$L$45</definedName>
    <definedName name="_xlnm._FilterDatabase" localSheetId="0" hidden="1">Catalogue_KPI!$A$1:$M$45</definedName>
    <definedName name="_xlnm._FilterDatabase" localSheetId="2" hidden="1">'Mapping Boond'!$A$1:$G$45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12" i="5"/>
  <c r="E13" i="5"/>
  <c r="E14" i="5"/>
  <c r="E15" i="5"/>
  <c r="E16" i="5"/>
  <c r="E17" i="5"/>
  <c r="E18" i="5"/>
  <c r="E19" i="5"/>
  <c r="E20" i="5"/>
  <c r="E2" i="5"/>
  <c r="E3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" i="5"/>
  <c r="E5" i="5"/>
  <c r="E6" i="5"/>
  <c r="E7" i="5"/>
  <c r="E8" i="5"/>
  <c r="E9" i="5"/>
  <c r="E45" i="5"/>
  <c r="E10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" i="5"/>
  <c r="D5" i="5"/>
  <c r="D6" i="5"/>
  <c r="D7" i="5"/>
  <c r="D8" i="5"/>
  <c r="D9" i="5"/>
  <c r="D45" i="5"/>
  <c r="D11" i="5"/>
  <c r="D12" i="5"/>
  <c r="D13" i="5"/>
  <c r="D14" i="5"/>
  <c r="D15" i="5"/>
  <c r="D16" i="5"/>
  <c r="D17" i="5"/>
  <c r="D18" i="5"/>
  <c r="D19" i="5"/>
  <c r="D20" i="5"/>
  <c r="D2" i="5"/>
  <c r="D3" i="5"/>
  <c r="D21" i="5"/>
  <c r="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Napé KONA</author>
  </authors>
  <commentList>
    <comment ref="A34" authorId="0" shapeId="0" xr:uid="{AF2EF86F-E9AC-421D-8FBC-6CA387B25B64}">
      <text>
        <r>
          <rPr>
            <b/>
            <sz val="9"/>
            <color indexed="81"/>
            <rFont val="Tahoma"/>
            <family val="2"/>
          </rPr>
          <t>Napé KONA: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Napé KONA</author>
  </authors>
  <commentList>
    <comment ref="D27" authorId="0" shapeId="0" xr:uid="{7536B9CA-6963-47D5-BD07-C68B3BED243A}">
      <text>
        <r>
          <rPr>
            <b/>
            <sz val="9"/>
            <color indexed="81"/>
            <rFont val="Tahoma"/>
            <family val="2"/>
          </rPr>
          <t>Napé KONA:</t>
        </r>
        <r>
          <rPr>
            <sz val="9"/>
            <color indexed="81"/>
            <rFont val="Tahoma"/>
            <family val="2"/>
          </rPr>
          <t xml:space="preserve">
Type Forfait?</t>
        </r>
      </text>
    </comment>
  </commentList>
</comments>
</file>

<file path=xl/sharedStrings.xml><?xml version="1.0" encoding="utf-8"?>
<sst xmlns="http://schemas.openxmlformats.org/spreadsheetml/2006/main" count="982" uniqueCount="308">
  <si>
    <t>KPI</t>
  </si>
  <si>
    <t>Définition</t>
  </si>
  <si>
    <t>Mode de calcul</t>
  </si>
  <si>
    <t>Unité</t>
  </si>
  <si>
    <t>Périmètre (Filière)</t>
  </si>
  <si>
    <t>Fréquence</t>
  </si>
  <si>
    <t>Source</t>
  </si>
  <si>
    <t>Responsable</t>
  </si>
  <si>
    <t>Baseline</t>
  </si>
  <si>
    <t>Objectif (valeur)</t>
  </si>
  <si>
    <t>Sens (↑/↓/=)</t>
  </si>
  <si>
    <t>Horizon</t>
  </si>
  <si>
    <t>Objectif-type (texte)</t>
  </si>
  <si>
    <t>Nb besoins par filière</t>
  </si>
  <si>
    <t>Volume de besoins par filière d’excellence.</t>
  </si>
  <si>
    <t>Comptage besoins tagués filière.</t>
  </si>
  <si>
    <t>nb</t>
  </si>
  <si>
    <t>Mensuel</t>
  </si>
  <si>
    <t>Boond / CRM</t>
  </si>
  <si>
    <t>LF+DT</t>
  </si>
  <si>
    <t>+20% vs N-1</t>
  </si>
  <si>
    <t>↑</t>
  </si>
  <si>
    <t>31/12/2026</t>
  </si>
  <si>
    <t>Augmenter le nombre de besoins par filière de +20% vs N-1 d’ici le 31/12/2026 (suivi mensuel).</t>
  </si>
  <si>
    <t>Nb candidats en vivier par filière</t>
  </si>
  <si>
    <t>Taille du vivier par filière.</t>
  </si>
  <si>
    <t>Comptage profils actifs dans le vivier.</t>
  </si>
  <si>
    <t>+30% vs N-1</t>
  </si>
  <si>
    <t>Croître le vivier par filière de +30% vs N-1 d’ici le 31/12/2026; minimum +5%/mois sur 2026.</t>
  </si>
  <si>
    <t>Croissance vivier par filière</t>
  </si>
  <si>
    <t>Évolution du vivier par filière.</t>
  </si>
  <si>
    <t>Δ vivier filière / période.</t>
  </si>
  <si>
    <t>%/mois</t>
  </si>
  <si>
    <t>≥ 5 %/mois</t>
  </si>
  <si>
    <t>Assurer une croissance du vivier ≥ 5% par mois sur 2026; ≥ 30% cumulé à fin 2026.</t>
  </si>
  <si>
    <t>Taux de réponse brute par filière</t>
  </si>
  <si>
    <t>Réactivité de réponse par filière.</t>
  </si>
  <si>
    <t>Réponses envoyées / besoins exprimés (filière).</t>
  </si>
  <si>
    <t>%</t>
  </si>
  <si>
    <t>≥ 90 %</t>
  </si>
  <si>
    <t>Atteindre un taux de réponse brute ≥ 90% par filière chaque mois d’ici le 31/12/2026.</t>
  </si>
  <si>
    <t>Taux de réponse net par filière</t>
  </si>
  <si>
    <t>Pertinence perçue par filière.</t>
  </si>
  <si>
    <t>Réponses avec retour / besoins exprimés (filière).</t>
  </si>
  <si>
    <t>≥ 70 %</t>
  </si>
  <si>
    <t>Atteindre un taux de réponse net ≥ 70% par filière chaque mois d’ici le 31/12/2026.</t>
  </si>
  <si>
    <t>Taux de soutenance par besoin par filière</t>
  </si>
  <si>
    <t>Mobilisation soutenances par filière.</t>
  </si>
  <si>
    <t>Soutenances / besoins (filière).</t>
  </si>
  <si>
    <t>≥ 60 %</t>
  </si>
  <si>
    <t>Atteindre un taux de soutenance ≥ 60% par besoin et par filière chaque trimestre jusqu’au 31/12/2026.</t>
  </si>
  <si>
    <t>Taux de transformation par filière</t>
  </si>
  <si>
    <t>Conversion par filière.</t>
  </si>
  <si>
    <t>Missions gagnées / propositions (filière).</t>
  </si>
  <si>
    <t>≥ 25 %</t>
  </si>
  <si>
    <t>Atteindre un taux de transformation ≥ 25% par filière d’ici le 31/12/2026.</t>
  </si>
  <si>
    <t>Taux de conversion après soutenance par filière</t>
  </si>
  <si>
    <t>Efficacité soutenance par filière.</t>
  </si>
  <si>
    <t>Missions gagnées / soutenances (filière).</t>
  </si>
  <si>
    <t>≥ 30 %</t>
  </si>
  <si>
    <t>Taux de rebond consultant par filière</t>
  </si>
  <si>
    <t>Fidélisation par filière.</t>
  </si>
  <si>
    <t>Consultants en rebond / fins de mission (filière).</t>
  </si>
  <si>
    <t>≥ 50 %</t>
  </si>
  <si>
    <t>Taux de churn consultant par filière</t>
  </si>
  <si>
    <t>Attrition par filière.</t>
  </si>
  <si>
    <t>Consultants sortis / actifs (filière).</t>
  </si>
  <si>
    <t>&lt; 10 %</t>
  </si>
  <si>
    <t>Nb d’offres packagées par filière</t>
  </si>
  <si>
    <t>Industrialisation de l’offre par filière.</t>
  </si>
  <si>
    <t>Comptage offres packagées actives.</t>
  </si>
  <si>
    <t>nb/an</t>
  </si>
  <si>
    <t>≥ 2</t>
  </si>
  <si>
    <t>Disposer d’au moins 2 offres packagées actives par filière au 31/12/2026.</t>
  </si>
  <si>
    <t>Taux de succès offres packagées par filière</t>
  </si>
  <si>
    <t>Performance des offres packagées.</t>
  </si>
  <si>
    <t>Gagnées / présentées (filière).</t>
  </si>
  <si>
    <t>≥ 35 %</t>
  </si>
  <si>
    <t>Atteindre un taux de succès des offres packagées ≥ 35% par filière d’ici le 31/12/2026.</t>
  </si>
  <si>
    <t>Nb de référencements par filière</t>
  </si>
  <si>
    <t>Ancrage client par filière.</t>
  </si>
  <si>
    <t>Comptage référencements par filière.</t>
  </si>
  <si>
    <t>Obtenir ≥ 2 nouveaux référencements par filière en 2026 (échéance 31/12/2026).</t>
  </si>
  <si>
    <t>Taux de succès AO complexes par filière</t>
  </si>
  <si>
    <t>Performance sur AO complexes par filière.</t>
  </si>
  <si>
    <t>AO gagnés / répondus (filière).</t>
  </si>
  <si>
    <t>Atteindre un taux de succès ≥ 30% sur AO complexes par filière d’ici le 31/12/2026.</t>
  </si>
  <si>
    <t>Nb de régies éligibles à une bascule CDS par filière</t>
  </si>
  <si>
    <t>Opportunités CDS détectées (filière).</t>
  </si>
  <si>
    <t>Comptage régies 'éligibles CDS' (filière).</t>
  </si>
  <si>
    <t>+50% vs N-1</t>
  </si>
  <si>
    <t>Augmenter de +50% vs N-1 le nombre de régies éligibles CDS par filière d’ici le 31/12/2026.</t>
  </si>
  <si>
    <t>Nb de tentatives de bascule CDS par filière</t>
  </si>
  <si>
    <t>Effort de transformation par filière.</t>
  </si>
  <si>
    <t>Comptage tentatives (filière).</t>
  </si>
  <si>
    <t>nb/trim</t>
  </si>
  <si>
    <t>≥ 1</t>
  </si>
  <si>
    <t>Réaliser au moins 1 tentative de bascule CDS par filière et par trimestre jusqu’au 31/12/2026.</t>
  </si>
  <si>
    <t>Nb de bascules CDS réussies par filière</t>
  </si>
  <si>
    <t>Succès de transformation (filière).</t>
  </si>
  <si>
    <t>Comptage bascules réussies (filière).</t>
  </si>
  <si>
    <t>Obtenir au moins 1 bascule CDS réussie par filière et par trimestre jusqu’au 31/12/2026.</t>
  </si>
  <si>
    <t>Taux de bascule régie → CDS par filière</t>
  </si>
  <si>
    <t>Efficacité de transformation (filière).</t>
  </si>
  <si>
    <t>Bascules réussies / régies éligibles (filière).</t>
  </si>
  <si>
    <t>10–20 %</t>
  </si>
  <si>
    <t>CA gagné via bascule CDS par filière</t>
  </si>
  <si>
    <t>Impact financier des bascules par filière.</t>
  </si>
  <si>
    <t>Σ (CA CDS – CA régie) (filière).</t>
  </si>
  <si>
    <t>€ (Δ CA)</t>
  </si>
  <si>
    <t>Accroître le CA net généré par les bascules CDS d’au moins +20% vs N-1 d’ici le 31/12/2026.</t>
  </si>
  <si>
    <t>Répartition motifs d’échec bascule par filière</t>
  </si>
  <si>
    <t>Analyse des causes d’échec par filière.</t>
  </si>
  <si>
    <t>% par motif.</t>
  </si>
  <si>
    <t>Top 2 &lt; 25 % chacun</t>
  </si>
  <si>
    <t>↓</t>
  </si>
  <si>
    <t>Ramener chacun des 2 motifs dominants d’échec &lt; 25% d’ici le 31/12/2026.</t>
  </si>
  <si>
    <t>Délai moyen de réponse à AO par filière</t>
  </si>
  <si>
    <t>Réactivité AO par filière.</t>
  </si>
  <si>
    <t>Date réponse - date réception (moyenne) (filière).</t>
  </si>
  <si>
    <t>DT &lt;24h ; AT &lt;48h ; LF &lt;24h</t>
  </si>
  <si>
    <t>Taux de transformation par délai (&lt;48h, &lt;7j, &gt;7j) par filière</t>
  </si>
  <si>
    <t>Lien délai ↔ succès par filière.</t>
  </si>
  <si>
    <t>Taux de succès par tranche (filière).</t>
  </si>
  <si>
    <t>Maximiser &lt;48h</t>
  </si>
  <si>
    <t>% candidats pertinents avec dossier prêt à l’emploi (par filière)</t>
  </si>
  <si>
    <t>Disponibilité des dossiers par filière.</t>
  </si>
  <si>
    <t>Nb candidats pertinents avec dossier / nb pertinents (filière).</t>
  </si>
  <si>
    <t>100 %</t>
  </si>
  <si>
    <t>% dossiers validés par un LF (par filière)</t>
  </si>
  <si>
    <t>Qualité technique garantie par filière.</t>
  </si>
  <si>
    <t>Nb dossiers validés / nb créés (filière).</t>
  </si>
  <si>
    <t>% candidats avec références collectées (par filière)</t>
  </si>
  <si>
    <t>Réflexe de collecte par filière.</t>
  </si>
  <si>
    <t>Nb candidats avec refs / nb entretiens (filière).</t>
  </si>
  <si>
    <t>% candidats avec ≥1 référence vérifiée (par filière)</t>
  </si>
  <si>
    <t>Crédibilisation par filière.</t>
  </si>
  <si>
    <t>Nb candidats avec ≥1 ref vérifiée / nb candidats proposés (filière).</t>
  </si>
  <si>
    <t>% consultants préparés avant entretien (par filière)</t>
  </si>
  <si>
    <t>Qualité de préparation par filière.</t>
  </si>
  <si>
    <t>Nb consultants préparés / nb envoyés en entretien (filière).</t>
  </si>
  <si>
    <t>Nb de typologies de missions récurrentes identifiées par filière</t>
  </si>
  <si>
    <t>Cartographie des postes récurrents par filière.</t>
  </si>
  <si>
    <t>Comptage typologies récurrentes actives.</t>
  </si>
  <si>
    <t>≥ 3</t>
  </si>
  <si>
    <t>30/06/2026</t>
  </si>
  <si>
    <t>Identifier ≥ 3 typologies de missions récurrentes par filière d’ici le 30/06/2026.</t>
  </si>
  <si>
    <t>% besoins récurrents couverts par une fiche référence</t>
  </si>
  <si>
    <t>Industrialisation (fiche poste, TJM, soft skills).</t>
  </si>
  <si>
    <t>Nb typologies avec fiche / nb typologies cibles.</t>
  </si>
  <si>
    <t>Nb de viviers actifs par typologie récurrente</t>
  </si>
  <si>
    <t>Nombre de viviers maintenus par typologie.</t>
  </si>
  <si>
    <t>Comptage viviers actifs.</t>
  </si>
  <si>
    <t>nb/typologie</t>
  </si>
  <si>
    <t>31/03/2026</t>
  </si>
  <si>
    <t>Disposer d’au moins 1 vivier actif par typologie récurrente d’ici le 31/03/2026.</t>
  </si>
  <si>
    <t>Nb moyen de profils disponibles par vivier</t>
  </si>
  <si>
    <t>Capacité à répondre immédiatement.</t>
  </si>
  <si>
    <t>Moyenne nb profils disponibles par vivier.</t>
  </si>
  <si>
    <t>nb/vivier</t>
  </si>
  <si>
    <t>Assurer ≥ 3 profils disponibles par vivier d’ici le 30/06/2026.</t>
  </si>
  <si>
    <t>Taux de complétude des viviers (≥3 profils par typologie)</t>
  </si>
  <si>
    <t>Couverture des typologies récurrentes.</t>
  </si>
  <si>
    <t>Typologies avec ≥3 profils / nb typologies.</t>
  </si>
  <si>
    <t>100 % sur sites majeurs</t>
  </si>
  <si>
    <t>Délai de mise à disposition d’un vivier</t>
  </si>
  <si>
    <t>Temps pour alimenter un vivier après identification.</t>
  </si>
  <si>
    <t>Date constitution vivier - date identification.</t>
  </si>
  <si>
    <t>jours ouvrés</t>
  </si>
  <si>
    <t>≤ 10 jours</t>
  </si>
  <si>
    <t>30/09/2026</t>
  </si>
  <si>
    <t>Réduire le délai de mise à disposition d’un vivier à ≤ 10 jours ouvrés d’ici le 30/09/2026.</t>
  </si>
  <si>
    <t>Taux de couverture site-client (≥3 profils par site majeur)</t>
  </si>
  <si>
    <t>Capacité à livrer par site-clé.</t>
  </si>
  <si>
    <t>% typologies avec ≥3 profils par site.</t>
  </si>
  <si>
    <t>100 % sites majeurs</t>
  </si>
  <si>
    <t>Taux de présentation express (&lt;1h, 3 profils présentés)</t>
  </si>
  <si>
    <t>Réactivité 'time-to-present'.</t>
  </si>
  <si>
    <t>Nb cas avec 3 profils &lt;1h / nb besoins récurrents.</t>
  </si>
  <si>
    <t>Nb de besoins de sourcing transmis aux DT par typologie/filière</t>
  </si>
  <si>
    <t>Synchronisation LF→DT.</t>
  </si>
  <si>
    <t>Comptage besoins transmis aux DT.</t>
  </si>
  <si>
    <t>Transmettre 100% des besoins de sourcing récurrents aux DT d’ici le 30/06/2026.</t>
  </si>
  <si>
    <t>% de viviers construits avec apport DT vs LF direct</t>
  </si>
  <si>
    <t>Répartition de la construction vivier.</t>
  </si>
  <si>
    <t>Viviers apportés DT / viviers totaux.</t>
  </si>
  <si>
    <t>% (DT)</t>
  </si>
  <si>
    <t>60 % (±10 pts)</t>
  </si>
  <si>
    <t>=</t>
  </si>
  <si>
    <t>Atteindre un équilibre de construction des viviers à 60% apport DT (±10 pts) d’ici le 31/12/2026.</t>
  </si>
  <si>
    <t>Taux de renouvellement des viviers (profils mis à jour / 6 mois)</t>
  </si>
  <si>
    <t>Fraîcheur des viviers.</t>
  </si>
  <si>
    <t>Profils mis à jour / profils vivier (6 mois).</t>
  </si>
  <si>
    <t>≥ 80 %</t>
  </si>
  <si>
    <t>% de prestations en régie (par filière)</t>
  </si>
  <si>
    <t>Part des missions en régie dans la filière considérée.</t>
  </si>
  <si>
    <t>Nb missions régie (filière) / Nb missions totales (filière).</t>
  </si>
  <si>
    <t>&lt; 70 % à horizon 2026</t>
  </si>
  <si>
    <t>% de prestations packagées (forfait / CDS) (par filière)</t>
  </si>
  <si>
    <t>Part des prestations packagées dans la filière considérée.</t>
  </si>
  <si>
    <t>Nb missions packagées (filière) / Nb missions totales (filière).</t>
  </si>
  <si>
    <t>&gt; 30 % à horizon 2026</t>
  </si>
  <si>
    <t>% de CA packagé (par filière)</t>
  </si>
  <si>
    <t>Part du CA provenant des missions packagées pour la filière.</t>
  </si>
  <si>
    <t>CA missions packagées (filière) / CA total (filière).</t>
  </si>
  <si>
    <t>% du CA</t>
  </si>
  <si>
    <t>Atteindre ≥ 25% de CA packagé au 31/12/2026, avec trajectoire +3 pts/trim sur 2026.</t>
  </si>
  <si>
    <t>% de marge brute packagée (par filière)</t>
  </si>
  <si>
    <t>Part de la marge brute issue des missions packagées dans la filière.</t>
  </si>
  <si>
    <t>Marge brute packagée (filière) / Marge brute totale (filière).</t>
  </si>
  <si>
    <t>% marge brute</t>
  </si>
  <si>
    <t>Atteindre ≥ 35% de marge brute packagée au 31/12/2026.</t>
  </si>
  <si>
    <t>Ratio marge moyenne packagée vs régie (par filière)</t>
  </si>
  <si>
    <t>Comparaison de la rentabilité packagé vs régie au sein de la filière.</t>
  </si>
  <si>
    <t>Marge moyenne packagée / Marge moyenne régie (filière).</t>
  </si>
  <si>
    <t>ratio</t>
  </si>
  <si>
    <t>≥ 1,15</t>
  </si>
  <si>
    <t>Atteindre un ratio marge packagée/régie ≥ 1,15 d’ici le 31/12/2026.</t>
  </si>
  <si>
    <t>Taux de croissance des missions packagées (par filière)</t>
  </si>
  <si>
    <t>Évolution du volume ou du CA des missions packagées dans la filière.</t>
  </si>
  <si>
    <t>(Nb missions packagées N – N-1) / N-1 (filière) ou (CA N – N-1) / N-1 (filière).</t>
  </si>
  <si>
    <t>%/trim</t>
  </si>
  <si>
    <t>≥ 10 %/trim</t>
  </si>
  <si>
    <t>Assurer une croissance des missions packagées ≥ 10% par trimestre en 2026.</t>
  </si>
  <si>
    <t>Objectif-type</t>
  </si>
  <si>
    <t>Specific(S)</t>
  </si>
  <si>
    <t>Measurable(M)</t>
  </si>
  <si>
    <t>Achievable(A)</t>
  </si>
  <si>
    <t>Relevant(R)</t>
  </si>
  <si>
    <t>Time-bound(T)</t>
  </si>
  <si>
    <t>SMART?</t>
  </si>
  <si>
    <t>Problèmes</t>
  </si>
  <si>
    <t>Date</t>
  </si>
  <si>
    <t>Valeur</t>
  </si>
  <si>
    <t>Commentaire</t>
  </si>
  <si>
    <t>Instructions Dashboard</t>
  </si>
  <si>
    <t>Créez un TCD depuis 'Saisie_Donnees' (Valeur par KPI et Filière, filtré par Date).</t>
  </si>
  <si>
    <t>Ajoutez des segments (Date, Filière, KPI) et des cartes d'indicateurs (Objectif, Réalisé, Écart, % Atteint).</t>
  </si>
  <si>
    <t>FEA-ARCHITECTURE</t>
  </si>
  <si>
    <t>Champs BoondManager</t>
  </si>
  <si>
    <t>Opportunités (tag filière), Date création, Statut</t>
  </si>
  <si>
    <t>Candidats (tag filière), Statut actif, Date mise à jour</t>
  </si>
  <si>
    <t>Opportunités, Réponses envoyées, Statut réponse</t>
  </si>
  <si>
    <t>Opportunités, Missions gagnées, Propositions</t>
  </si>
  <si>
    <t>Opportunités, Présentations, Soutenances</t>
  </si>
  <si>
    <t>Consultants, Historique missions, Statut actif</t>
  </si>
  <si>
    <t>Opportunités (type packagé/CDS), Statut, CA, Marge</t>
  </si>
  <si>
    <t>Opportunités (type AO), Date réception, Date réponse</t>
  </si>
  <si>
    <t>Tags filière, Opportunités, Candidats, Missions</t>
  </si>
  <si>
    <t>Opportunités (type régie/CDS), Historique, CA</t>
  </si>
  <si>
    <t>Tags ou Custom Fields (Typologie), Viviers</t>
  </si>
  <si>
    <r>
      <t>Disposer d’au moins 1 vivier actif par</t>
    </r>
    <r>
      <rPr>
        <sz val="11"/>
        <color rgb="FFFF0000"/>
        <rFont val="Calibri"/>
        <family val="2"/>
        <scheme val="minor"/>
      </rPr>
      <t xml:space="preserve"> typologie récurrente </t>
    </r>
    <r>
      <rPr>
        <sz val="11"/>
        <color theme="1"/>
        <rFont val="Calibri"/>
        <family val="2"/>
        <scheme val="minor"/>
      </rPr>
      <t>d’ici le 31/03/2026.</t>
    </r>
  </si>
  <si>
    <t>Candidats</t>
  </si>
  <si>
    <t>Ressources</t>
  </si>
  <si>
    <t>Besoins</t>
  </si>
  <si>
    <t>Positionnements</t>
  </si>
  <si>
    <t>Nomencalture
Wekey</t>
  </si>
  <si>
    <t>FEA</t>
  </si>
  <si>
    <r>
      <t>Temps pour alimenter un vivier après identification. (</t>
    </r>
    <r>
      <rPr>
        <sz val="11"/>
        <color rgb="FFC00000"/>
        <rFont val="Calibri"/>
        <family val="2"/>
        <scheme val="minor"/>
      </rPr>
      <t>Mesure la réactivité de votre organisation pour anticiper les besoins</t>
    </r>
    <r>
      <rPr>
        <sz val="11"/>
        <color theme="1"/>
        <rFont val="Calibri"/>
        <family val="2"/>
        <scheme val="minor"/>
      </rPr>
      <t>.)</t>
    </r>
  </si>
  <si>
    <t>Mesure</t>
  </si>
  <si>
    <t>Indication</t>
  </si>
  <si>
    <t>Comptage régies “éligibles CDS” (filière).</t>
  </si>
  <si>
    <t>Date réponse – date réception (moyenne) (filière).</t>
  </si>
  <si>
    <t>Date constitution vivier – date identification.</t>
  </si>
  <si>
    <t>Réactivité “time-to-present”.</t>
  </si>
  <si>
    <t>Priorité</t>
  </si>
  <si>
    <t>?Indication de filiere</t>
  </si>
  <si>
    <t>?Forfait, regie, packagées (boond) = Packagée et forfait, est ce la meme chose?</t>
  </si>
  <si>
    <t>? Process bascule CDS vers Filiere</t>
  </si>
  <si>
    <t>Étiquettes de lignes</t>
  </si>
  <si>
    <t>Nombre de KPI</t>
  </si>
  <si>
    <t>Total général</t>
  </si>
  <si>
    <t>Opportunités ou demandes exprimées par un client (ex. mission à staffer, AO).</t>
  </si>
  <si>
    <t>Profils identifiés pour répondre aux besoins (internes ou externes).</t>
  </si>
  <si>
    <t>Consultants en mission (interne ou externe) ou disponibles pour positionnement.</t>
  </si>
  <si>
    <t>Action de proposer un candidat sur un besoin (avec dossier complet).</t>
  </si>
  <si>
    <t>FEA&amp;KONA Napé&amp;Dispo&lt;3mois</t>
  </si>
  <si>
    <t>Définition : Ensemble de candidats disponibles et à jour, prêts à être positionnés rapidement.</t>
  </si>
  <si>
    <t>Critères typiques :</t>
  </si>
  <si>
    <t>Profil complet (CV, dossier validé, références vérifiées).</t>
  </si>
  <si>
    <t>Disponibilité confirmée (immédiate ou à court terme).</t>
  </si>
  <si>
    <t>Dernière mise à jour récente (ex. &lt; 3 mois).</t>
  </si>
  <si>
    <t>Statut : Actif dans BoondManager.</t>
  </si>
  <si>
    <t>Définition : Ensemble de candidats non activement suivis, profils anciens ou indisponibles.</t>
  </si>
  <si>
    <t>Profil incomplet ou obsolète.</t>
  </si>
  <si>
    <t>Disponibilité inconnue ou lointaine.</t>
  </si>
  <si>
    <t>Dernière mise à jour &gt; 6 mois.</t>
  </si>
  <si>
    <t>Statut : Inactif ou À recontacter.</t>
  </si>
  <si>
    <r>
      <t xml:space="preserve">Indicateur business : Potentiel à réactiver </t>
    </r>
    <r>
      <rPr>
        <sz val="10.5"/>
        <color rgb="FF353D45"/>
        <rFont val="Times New Roman"/>
        <family val="1"/>
      </rPr>
      <t>→</t>
    </r>
    <r>
      <rPr>
        <sz val="10.5"/>
        <color rgb="FF353D45"/>
        <rFont val="Roboto"/>
      </rPr>
      <t xml:space="preserve"> KPI comme Taux de renouvellement des viviers.</t>
    </r>
  </si>
  <si>
    <r>
      <t xml:space="preserve">Indicateur business : Capacité immédiate à répondre à un besoin </t>
    </r>
    <r>
      <rPr>
        <sz val="10.5"/>
        <color rgb="FF353D45"/>
        <rFont val="Times New Roman"/>
        <family val="1"/>
      </rPr>
      <t>→</t>
    </r>
    <r>
      <rPr>
        <sz val="10.5"/>
        <color rgb="FF353D45"/>
        <rFont val="Roboto"/>
      </rPr>
      <t xml:space="preserve"> KPI comme Nb moyen de profils disponibles par vivier, Taux de complétude des viviers.</t>
    </r>
  </si>
  <si>
    <t>Vivier passif</t>
  </si>
  <si>
    <t>Vivier actif</t>
  </si>
  <si>
    <r>
      <t xml:space="preserve">Allez dans </t>
    </r>
    <r>
      <rPr>
        <b/>
        <sz val="10.5"/>
        <color rgb="FF353D45"/>
        <rFont val="Roboto"/>
      </rPr>
      <t xml:space="preserve">Administration </t>
    </r>
    <r>
      <rPr>
        <b/>
        <sz val="10.5"/>
        <color rgb="FF353D45"/>
        <rFont val="Times New Roman"/>
        <family val="1"/>
      </rPr>
      <t>→</t>
    </r>
    <r>
      <rPr>
        <b/>
        <sz val="10.5"/>
        <color rgb="FF353D45"/>
        <rFont val="Roboto"/>
      </rPr>
      <t xml:space="preserve"> Paramètres </t>
    </r>
    <r>
      <rPr>
        <b/>
        <sz val="10.5"/>
        <color rgb="FF353D45"/>
        <rFont val="Times New Roman"/>
        <family val="1"/>
      </rPr>
      <t>→</t>
    </r>
    <r>
      <rPr>
        <b/>
        <sz val="10.5"/>
        <color rgb="FF353D45"/>
        <rFont val="Roboto"/>
      </rPr>
      <t xml:space="preserve"> Champs personnalisés</t>
    </r>
    <r>
      <rPr>
        <sz val="10.5"/>
        <color rgb="FF353D45"/>
        <rFont val="Roboto"/>
      </rPr>
      <t>.</t>
    </r>
  </si>
  <si>
    <r>
      <t xml:space="preserve">Créez un champ </t>
    </r>
    <r>
      <rPr>
        <b/>
        <sz val="10.5"/>
        <color rgb="FF353D45"/>
        <rFont val="Roboto"/>
      </rPr>
      <t>Type : Liste déroulante</t>
    </r>
    <r>
      <rPr>
        <sz val="10.5"/>
        <color rgb="FF353D45"/>
        <rFont val="Roboto"/>
      </rPr>
      <t xml:space="preserve"> nommé :</t>
    </r>
  </si>
  <si>
    <t>Statut vivier</t>
  </si>
  <si>
    <t>avec valeurs :</t>
  </si>
  <si>
    <t>Actif</t>
  </si>
  <si>
    <t>Passif</t>
  </si>
  <si>
    <r>
      <t xml:space="preserve">Associez ce champ à l’entité </t>
    </r>
    <r>
      <rPr>
        <b/>
        <sz val="10.5"/>
        <color rgb="FF353D45"/>
        <rFont val="Roboto"/>
      </rPr>
      <t>Candidat</t>
    </r>
    <r>
      <rPr>
        <sz val="10.5"/>
        <color rgb="FF353D45"/>
        <rFont val="Roboto"/>
      </rPr>
      <t>.</t>
    </r>
  </si>
  <si>
    <r>
      <t xml:space="preserve">Dans </t>
    </r>
    <r>
      <rPr>
        <b/>
        <sz val="10.5"/>
        <color rgb="FF353D45"/>
        <rFont val="Roboto"/>
      </rPr>
      <t xml:space="preserve">Administration </t>
    </r>
    <r>
      <rPr>
        <b/>
        <sz val="10.5"/>
        <color rgb="FF353D45"/>
        <rFont val="Times New Roman"/>
        <family val="1"/>
      </rPr>
      <t>→</t>
    </r>
    <r>
      <rPr>
        <b/>
        <sz val="10.5"/>
        <color rgb="FF353D45"/>
        <rFont val="Roboto"/>
      </rPr>
      <t xml:space="preserve"> Automatisations</t>
    </r>
    <r>
      <rPr>
        <sz val="10.5"/>
        <color rgb="FF353D45"/>
        <rFont val="Roboto"/>
      </rPr>
      <t xml:space="preserve"> :</t>
    </r>
  </si>
  <si>
    <t>Créez une règle :</t>
  </si>
  <si>
    <r>
      <t>Condition</t>
    </r>
    <r>
      <rPr>
        <sz val="10.5"/>
        <color rgb="FF353D45"/>
        <rFont val="Roboto"/>
      </rPr>
      <t xml:space="preserve"> : Dernière mise à jour &lt; 90 jours ET Statut = Actif.</t>
    </r>
  </si>
  <si>
    <r>
      <t>Action</t>
    </r>
    <r>
      <rPr>
        <sz val="10.5"/>
        <color rgb="FF353D45"/>
        <rFont val="Roboto"/>
      </rPr>
      <t xml:space="preserve"> : Tag = Actif.</t>
    </r>
  </si>
  <si>
    <t>Créez une autre règle pour Passif :</t>
  </si>
  <si>
    <r>
      <t>Condition</t>
    </r>
    <r>
      <rPr>
        <sz val="10.5"/>
        <color rgb="FF353D45"/>
        <rFont val="Roboto"/>
      </rPr>
      <t xml:space="preserve"> : Dernière mise à jour &gt; 90 jours OU Statut = Inactif.</t>
    </r>
  </si>
  <si>
    <r>
      <t>Action</t>
    </r>
    <r>
      <rPr>
        <sz val="10.5"/>
        <color rgb="FF353D45"/>
        <rFont val="Roboto"/>
      </rPr>
      <t xml:space="preserve"> : Tag = Passif.</t>
    </r>
  </si>
  <si>
    <t>Automatiser la classification</t>
  </si>
  <si>
    <r>
      <rPr>
        <b/>
        <sz val="7"/>
        <color rgb="FF353D45"/>
        <rFont val="Times New Roman"/>
        <family val="1"/>
      </rPr>
      <t xml:space="preserve"> </t>
    </r>
    <r>
      <rPr>
        <b/>
        <sz val="10.5"/>
        <color rgb="FF353D45"/>
        <rFont val="Roboto"/>
      </rPr>
      <t>Créer des tags ou champs personnalisés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</si>
</sst>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rgb="FF353D45"/>
      <name val="Roboto"/>
    </font>
    <font>
      <sz val="10.5"/>
      <color rgb="FF353D45"/>
      <name val="Roboto"/>
    </font>
    <font>
      <sz val="10.5"/>
      <color rgb="FF353D45"/>
      <name val="Times New Roman"/>
      <family val="1"/>
    </font>
    <font>
      <b/>
      <sz val="10.5"/>
      <color rgb="FF353D45"/>
      <name val="Roboto"/>
    </font>
    <font>
      <b/>
      <sz val="7"/>
      <color rgb="FF353D45"/>
      <name val="Times New Roman"/>
      <family val="1"/>
    </font>
    <font>
      <b/>
      <sz val="10.5"/>
      <color rgb="FF353D45"/>
      <name val="Times New Roman"/>
      <family val="1"/>
    </font>
    <font>
      <b/>
      <sz val="10.5"/>
      <color rgb="FF353D45"/>
      <name val="Roboto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rgb="FF1F4E7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3" borderId="0" xfId="0" applyFill="1"/>
    <xf numFmtId="0" fontId="0" fillId="4" borderId="0" xfId="0" applyFill="1"/>
    <xf numFmtId="0" fontId="0" fillId="0" borderId="1" xfId="0" applyBorder="1"/>
    <xf numFmtId="0" fontId="3" fillId="5" borderId="1" xfId="0" applyFont="1" applyFill="1" applyBorder="1" applyAlignment="1">
      <alignment horizontal="center" vertical="top"/>
    </xf>
    <xf numFmtId="0" fontId="0" fillId="6" borderId="0" xfId="0" applyFill="1"/>
    <xf numFmtId="0" fontId="3" fillId="5" borderId="1" xfId="0" applyFont="1" applyFill="1" applyBorder="1" applyAlignment="1">
      <alignment horizontal="center" vertical="top" wrapText="1"/>
    </xf>
    <xf numFmtId="14" fontId="0" fillId="0" borderId="1" xfId="0" applyNumberFormat="1" applyBorder="1"/>
    <xf numFmtId="0" fontId="0" fillId="8" borderId="0" xfId="0" applyFill="1"/>
    <xf numFmtId="0" fontId="3" fillId="7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0" xfId="0" applyFont="1"/>
    <xf numFmtId="0" fontId="8" fillId="0" borderId="0" xfId="0" applyFont="1" applyAlignment="1">
      <alignment horizontal="left" vertical="center" indent="2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2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[FEA-KPI_Filiere_Structure_Audit_v1.xlsx]Taxomonie!Tableau croisé dynamique2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Taxomonie!$B$3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Taxomonie!$A$4:$A$8</c:f>
              <c:strCache>
                <c:ptCount val="4"/>
                <c:pt idx="0">
                  <c:v>Besoins</c:v>
                </c:pt>
                <c:pt idx="1">
                  <c:v>Candidats</c:v>
                </c:pt>
                <c:pt idx="2">
                  <c:v>Positionnements</c:v>
                </c:pt>
                <c:pt idx="3">
                  <c:v>Ressources</c:v>
                </c:pt>
              </c:strCache>
            </c:strRef>
          </c:cat>
          <c:val>
            <c:numRef>
              <c:f>Taxomonie!$B$4:$B$8</c:f>
              <c:numCache>
                <c:formatCode>General</c:formatCode>
                <c:ptCount val="4"/>
                <c:pt idx="0">
                  <c:v>25</c:v>
                </c:pt>
                <c:pt idx="1">
                  <c:v>11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D-413B-BFFC-65F47C955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17462</xdr:rowOff>
    </xdr:from>
    <xdr:to>
      <xdr:col>1</xdr:col>
      <xdr:colOff>1562100</xdr:colOff>
      <xdr:row>27</xdr:row>
      <xdr:rowOff>49212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C82ACD8-7427-1D54-EC96-2FB9D412D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pé KONA" refreshedDate="46002.445005555557" createdVersion="8" refreshedVersion="8" minRefreshableVersion="3" recordCount="44" xr:uid="{54C0BF7F-E9CE-471C-9D41-B5EDC0A334B2}">
  <cacheSource type="worksheet">
    <worksheetSource ref="A1:B45" sheet="Mapping Boond"/>
  </cacheSource>
  <cacheFields count="2">
    <cacheField name="KPI" numFmtId="0">
      <sharedItems/>
    </cacheField>
    <cacheField name="Nomencalture_x000a_Wekey" numFmtId="0">
      <sharedItems count="4">
        <s v="Ressources"/>
        <s v="Positionnements"/>
        <s v="Candidats"/>
        <s v="Besoi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Taux de rebond consultant par filière"/>
    <x v="0"/>
  </r>
  <r>
    <s v="Taux de churn consultant par filière"/>
    <x v="0"/>
  </r>
  <r>
    <s v="Taux de succès AO complexes par filière"/>
    <x v="1"/>
  </r>
  <r>
    <s v="% dossiers validés par un LF (par filière)"/>
    <x v="1"/>
  </r>
  <r>
    <s v="% consultants préparés avant entretien (par filière)"/>
    <x v="1"/>
  </r>
  <r>
    <s v="Taux de couverture site-client (≥3 profils par site majeur)"/>
    <x v="1"/>
  </r>
  <r>
    <s v="Taux de présentation express (&lt;1h, 3 profils présentés)"/>
    <x v="1"/>
  </r>
  <r>
    <s v="% de prestations en régie (par filière)"/>
    <x v="1"/>
  </r>
  <r>
    <s v="Nb candidats en vivier par filière"/>
    <x v="2"/>
  </r>
  <r>
    <s v="Croissance vivier par filière"/>
    <x v="2"/>
  </r>
  <r>
    <s v="% candidats pertinents avec dossier prêt à l’emploi (par filière)"/>
    <x v="2"/>
  </r>
  <r>
    <s v="% candidats avec références collectées (par filière)"/>
    <x v="2"/>
  </r>
  <r>
    <s v="% candidats avec ≥1 référence vérifiée (par filière)"/>
    <x v="2"/>
  </r>
  <r>
    <s v="Nb de viviers actifs par typologie récurrente"/>
    <x v="2"/>
  </r>
  <r>
    <s v="Nb moyen de profils disponibles par vivier"/>
    <x v="2"/>
  </r>
  <r>
    <s v="Taux de complétude des viviers (≥3 profils par typologie)"/>
    <x v="2"/>
  </r>
  <r>
    <s v="Délai de mise à disposition d’un vivier"/>
    <x v="2"/>
  </r>
  <r>
    <s v="% de viviers construits avec apport DT vs LF direct"/>
    <x v="2"/>
  </r>
  <r>
    <s v="Taux de renouvellement des viviers (profils mis à jour / 6 mois)"/>
    <x v="2"/>
  </r>
  <r>
    <s v="Nb besoins par filière"/>
    <x v="3"/>
  </r>
  <r>
    <s v="Taux de soutenance par besoin par filière"/>
    <x v="3"/>
  </r>
  <r>
    <s v="% besoins récurrents couverts par une fiche référence"/>
    <x v="3"/>
  </r>
  <r>
    <s v="Nb de besoins de sourcing transmis aux DT par typologie/filière"/>
    <x v="3"/>
  </r>
  <r>
    <s v="Nb de référencements par filière"/>
    <x v="3"/>
  </r>
  <r>
    <s v="Nb d’offres packagées par filière"/>
    <x v="3"/>
  </r>
  <r>
    <s v="Taux de succès offres packagées par filière"/>
    <x v="3"/>
  </r>
  <r>
    <s v="% de prestations packagées (forfait / CDS) (par filière)"/>
    <x v="3"/>
  </r>
  <r>
    <s v="% de CA packagé (par filière)"/>
    <x v="3"/>
  </r>
  <r>
    <s v="% de marge brute packagée (par filière)"/>
    <x v="3"/>
  </r>
  <r>
    <s v="Ratio marge moyenne packagée vs régie (par filière)"/>
    <x v="3"/>
  </r>
  <r>
    <s v="Taux de croissance des missions packagées (par filière)"/>
    <x v="3"/>
  </r>
  <r>
    <s v="Nb de régies éligibles à une bascule CDS par filière"/>
    <x v="3"/>
  </r>
  <r>
    <s v="Nb de tentatives de bascule CDS par filière"/>
    <x v="3"/>
  </r>
  <r>
    <s v="Nb de bascules CDS réussies par filière"/>
    <x v="3"/>
  </r>
  <r>
    <s v="Taux de bascule régie → CDS par filière"/>
    <x v="3"/>
  </r>
  <r>
    <s v="CA gagné via bascule CDS par filière"/>
    <x v="3"/>
  </r>
  <r>
    <s v="Répartition motifs d’échec bascule par filière"/>
    <x v="3"/>
  </r>
  <r>
    <s v="Taux de transformation par filière"/>
    <x v="3"/>
  </r>
  <r>
    <s v="Taux de transformation par délai (&lt;48h, &lt;7j, &gt;7j) par filière"/>
    <x v="3"/>
  </r>
  <r>
    <s v="Taux de conversion après soutenance par filière"/>
    <x v="3"/>
  </r>
  <r>
    <s v="Taux de réponse brute par filière"/>
    <x v="3"/>
  </r>
  <r>
    <s v="Taux de réponse net par filière"/>
    <x v="3"/>
  </r>
  <r>
    <s v="Délai moyen de réponse à AO par filière"/>
    <x v="3"/>
  </r>
  <r>
    <s v="Nb de typologies de missions récurrentes identifiées par filièr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33898-215D-4DBB-BBE9-2463119DC8C2}" name="Tableau croisé dynamique2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">
    <pivotField dataField="1"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KPI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41" sqref="B41"/>
    </sheetView>
  </sheetViews>
  <sheetFormatPr baseColWidth="10" defaultColWidth="33" defaultRowHeight="14.5" x14ac:dyDescent="0.35"/>
  <cols>
    <col min="1" max="1" width="55.453125" style="4" bestFit="1" customWidth="1"/>
    <col min="2" max="2" width="107" style="4" bestFit="1" customWidth="1"/>
    <col min="3" max="3" width="66.6328125" style="4" bestFit="1" customWidth="1"/>
    <col min="4" max="12" width="33" style="4"/>
    <col min="13" max="13" width="88.7265625" style="4" bestFit="1" customWidth="1"/>
    <col min="14" max="16384" width="33" style="4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4" t="s">
        <v>13</v>
      </c>
      <c r="B2" s="4" t="s">
        <v>14</v>
      </c>
      <c r="C2" s="4" t="s">
        <v>15</v>
      </c>
      <c r="D2" s="4" t="s">
        <v>16</v>
      </c>
      <c r="E2" s="4" t="s">
        <v>238</v>
      </c>
      <c r="F2" s="4" t="s">
        <v>17</v>
      </c>
      <c r="G2" s="4" t="s">
        <v>18</v>
      </c>
      <c r="H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x14ac:dyDescent="0.35">
      <c r="A3" s="4" t="s">
        <v>24</v>
      </c>
      <c r="B3" s="4" t="s">
        <v>25</v>
      </c>
      <c r="C3" s="4" t="s">
        <v>26</v>
      </c>
      <c r="D3" s="4" t="s">
        <v>16</v>
      </c>
      <c r="E3" s="4" t="s">
        <v>238</v>
      </c>
      <c r="F3" s="4" t="s">
        <v>17</v>
      </c>
      <c r="G3" s="4" t="s">
        <v>18</v>
      </c>
      <c r="H3" s="4" t="s">
        <v>19</v>
      </c>
      <c r="J3" s="4" t="s">
        <v>27</v>
      </c>
      <c r="K3" s="4" t="s">
        <v>21</v>
      </c>
      <c r="L3" s="4" t="s">
        <v>22</v>
      </c>
      <c r="M3" s="4" t="s">
        <v>28</v>
      </c>
    </row>
    <row r="4" spans="1:13" x14ac:dyDescent="0.35">
      <c r="A4" s="4" t="s">
        <v>29</v>
      </c>
      <c r="B4" s="4" t="s">
        <v>30</v>
      </c>
      <c r="C4" s="4" t="s">
        <v>31</v>
      </c>
      <c r="D4" s="4" t="s">
        <v>32</v>
      </c>
      <c r="E4" s="4" t="s">
        <v>238</v>
      </c>
      <c r="F4" s="4" t="s">
        <v>17</v>
      </c>
      <c r="G4" s="4" t="s">
        <v>18</v>
      </c>
      <c r="H4" s="4" t="s">
        <v>19</v>
      </c>
      <c r="J4" s="4" t="s">
        <v>33</v>
      </c>
      <c r="K4" s="4" t="s">
        <v>21</v>
      </c>
      <c r="L4" s="4" t="s">
        <v>22</v>
      </c>
      <c r="M4" s="4" t="s">
        <v>34</v>
      </c>
    </row>
    <row r="5" spans="1:13" x14ac:dyDescent="0.35">
      <c r="A5" s="4" t="s">
        <v>35</v>
      </c>
      <c r="B5" s="4" t="s">
        <v>36</v>
      </c>
      <c r="C5" s="4" t="s">
        <v>37</v>
      </c>
      <c r="D5" s="4" t="s">
        <v>38</v>
      </c>
      <c r="E5" s="4" t="s">
        <v>238</v>
      </c>
      <c r="F5" s="4" t="s">
        <v>17</v>
      </c>
      <c r="G5" s="4" t="s">
        <v>18</v>
      </c>
      <c r="H5" s="4" t="s">
        <v>19</v>
      </c>
      <c r="J5" s="4" t="s">
        <v>39</v>
      </c>
      <c r="K5" s="4" t="s">
        <v>21</v>
      </c>
      <c r="L5" s="4" t="s">
        <v>22</v>
      </c>
      <c r="M5" s="4" t="s">
        <v>40</v>
      </c>
    </row>
    <row r="6" spans="1:13" x14ac:dyDescent="0.35">
      <c r="A6" s="4" t="s">
        <v>41</v>
      </c>
      <c r="B6" s="4" t="s">
        <v>42</v>
      </c>
      <c r="C6" s="4" t="s">
        <v>43</v>
      </c>
      <c r="D6" s="4" t="s">
        <v>38</v>
      </c>
      <c r="E6" s="4" t="s">
        <v>238</v>
      </c>
      <c r="F6" s="4" t="s">
        <v>17</v>
      </c>
      <c r="G6" s="4" t="s">
        <v>18</v>
      </c>
      <c r="H6" s="4" t="s">
        <v>19</v>
      </c>
      <c r="J6" s="4" t="s">
        <v>44</v>
      </c>
      <c r="K6" s="4" t="s">
        <v>21</v>
      </c>
      <c r="L6" s="4" t="s">
        <v>22</v>
      </c>
      <c r="M6" s="4" t="s">
        <v>45</v>
      </c>
    </row>
    <row r="7" spans="1:13" x14ac:dyDescent="0.35">
      <c r="A7" s="4" t="s">
        <v>46</v>
      </c>
      <c r="B7" s="4" t="s">
        <v>47</v>
      </c>
      <c r="C7" s="4" t="s">
        <v>48</v>
      </c>
      <c r="D7" s="4" t="s">
        <v>38</v>
      </c>
      <c r="E7" s="4" t="s">
        <v>238</v>
      </c>
      <c r="F7" s="4" t="s">
        <v>17</v>
      </c>
      <c r="G7" s="4" t="s">
        <v>18</v>
      </c>
      <c r="H7" s="4" t="s">
        <v>19</v>
      </c>
      <c r="J7" s="4" t="s">
        <v>49</v>
      </c>
      <c r="K7" s="4" t="s">
        <v>21</v>
      </c>
      <c r="L7" s="4" t="s">
        <v>22</v>
      </c>
      <c r="M7" s="4" t="s">
        <v>50</v>
      </c>
    </row>
    <row r="8" spans="1:13" x14ac:dyDescent="0.35">
      <c r="A8" s="4" t="s">
        <v>51</v>
      </c>
      <c r="B8" s="4" t="s">
        <v>52</v>
      </c>
      <c r="C8" s="4" t="s">
        <v>53</v>
      </c>
      <c r="D8" s="4" t="s">
        <v>38</v>
      </c>
      <c r="E8" s="4" t="s">
        <v>238</v>
      </c>
      <c r="F8" s="4" t="s">
        <v>17</v>
      </c>
      <c r="G8" s="4" t="s">
        <v>18</v>
      </c>
      <c r="H8" s="4" t="s">
        <v>19</v>
      </c>
      <c r="J8" s="4" t="s">
        <v>54</v>
      </c>
      <c r="K8" s="4" t="s">
        <v>21</v>
      </c>
      <c r="L8" s="4" t="s">
        <v>22</v>
      </c>
      <c r="M8" s="4" t="s">
        <v>55</v>
      </c>
    </row>
    <row r="9" spans="1:13" x14ac:dyDescent="0.35">
      <c r="A9" s="4" t="s">
        <v>56</v>
      </c>
      <c r="B9" s="4" t="s">
        <v>57</v>
      </c>
      <c r="C9" s="4" t="s">
        <v>58</v>
      </c>
      <c r="E9" s="4" t="s">
        <v>238</v>
      </c>
      <c r="F9" s="4" t="s">
        <v>17</v>
      </c>
      <c r="G9" s="4" t="s">
        <v>18</v>
      </c>
      <c r="H9" s="4" t="s">
        <v>19</v>
      </c>
      <c r="M9" s="4" t="s">
        <v>59</v>
      </c>
    </row>
    <row r="10" spans="1:13" x14ac:dyDescent="0.35">
      <c r="A10" s="4" t="s">
        <v>60</v>
      </c>
      <c r="B10" s="4" t="s">
        <v>61</v>
      </c>
      <c r="C10" s="4" t="s">
        <v>62</v>
      </c>
      <c r="E10" s="4" t="s">
        <v>238</v>
      </c>
      <c r="F10" s="4" t="s">
        <v>17</v>
      </c>
      <c r="G10" s="4" t="s">
        <v>18</v>
      </c>
      <c r="H10" s="4" t="s">
        <v>19</v>
      </c>
      <c r="M10" s="4" t="s">
        <v>63</v>
      </c>
    </row>
    <row r="11" spans="1:13" x14ac:dyDescent="0.35">
      <c r="A11" s="4" t="s">
        <v>64</v>
      </c>
      <c r="B11" s="4" t="s">
        <v>65</v>
      </c>
      <c r="C11" s="4" t="s">
        <v>66</v>
      </c>
      <c r="E11" s="4" t="s">
        <v>238</v>
      </c>
      <c r="F11" s="4" t="s">
        <v>17</v>
      </c>
      <c r="G11" s="4" t="s">
        <v>18</v>
      </c>
      <c r="H11" s="4" t="s">
        <v>19</v>
      </c>
      <c r="M11" s="4" t="s">
        <v>67</v>
      </c>
    </row>
    <row r="12" spans="1:13" x14ac:dyDescent="0.35">
      <c r="A12" s="4" t="s">
        <v>68</v>
      </c>
      <c r="B12" s="4" t="s">
        <v>69</v>
      </c>
      <c r="C12" s="4" t="s">
        <v>70</v>
      </c>
      <c r="D12" s="4" t="s">
        <v>71</v>
      </c>
      <c r="E12" s="4" t="s">
        <v>238</v>
      </c>
      <c r="F12" s="4" t="s">
        <v>17</v>
      </c>
      <c r="G12" s="4" t="s">
        <v>18</v>
      </c>
      <c r="H12" s="4" t="s">
        <v>19</v>
      </c>
      <c r="J12" s="4" t="s">
        <v>72</v>
      </c>
      <c r="K12" s="4" t="s">
        <v>21</v>
      </c>
      <c r="L12" s="4" t="s">
        <v>22</v>
      </c>
      <c r="M12" s="4" t="s">
        <v>73</v>
      </c>
    </row>
    <row r="13" spans="1:13" x14ac:dyDescent="0.35">
      <c r="A13" s="4" t="s">
        <v>74</v>
      </c>
      <c r="B13" s="4" t="s">
        <v>75</v>
      </c>
      <c r="C13" s="4" t="s">
        <v>76</v>
      </c>
      <c r="D13" s="4" t="s">
        <v>38</v>
      </c>
      <c r="E13" s="4" t="s">
        <v>238</v>
      </c>
      <c r="F13" s="4" t="s">
        <v>17</v>
      </c>
      <c r="G13" s="4" t="s">
        <v>18</v>
      </c>
      <c r="H13" s="4" t="s">
        <v>19</v>
      </c>
      <c r="J13" s="4" t="s">
        <v>77</v>
      </c>
      <c r="K13" s="4" t="s">
        <v>21</v>
      </c>
      <c r="L13" s="4" t="s">
        <v>22</v>
      </c>
      <c r="M13" s="4" t="s">
        <v>78</v>
      </c>
    </row>
    <row r="14" spans="1:13" x14ac:dyDescent="0.35">
      <c r="A14" s="4" t="s">
        <v>79</v>
      </c>
      <c r="B14" s="4" t="s">
        <v>80</v>
      </c>
      <c r="C14" s="4" t="s">
        <v>81</v>
      </c>
      <c r="D14" s="4" t="s">
        <v>71</v>
      </c>
      <c r="E14" s="4" t="s">
        <v>238</v>
      </c>
      <c r="F14" s="4" t="s">
        <v>17</v>
      </c>
      <c r="G14" s="4" t="s">
        <v>18</v>
      </c>
      <c r="H14" s="4" t="s">
        <v>19</v>
      </c>
      <c r="J14" s="4" t="s">
        <v>72</v>
      </c>
      <c r="K14" s="4" t="s">
        <v>21</v>
      </c>
      <c r="L14" s="4" t="s">
        <v>22</v>
      </c>
      <c r="M14" s="4" t="s">
        <v>82</v>
      </c>
    </row>
    <row r="15" spans="1:13" x14ac:dyDescent="0.35">
      <c r="A15" s="4" t="s">
        <v>83</v>
      </c>
      <c r="B15" s="4" t="s">
        <v>84</v>
      </c>
      <c r="C15" s="4" t="s">
        <v>85</v>
      </c>
      <c r="D15" s="4" t="s">
        <v>38</v>
      </c>
      <c r="E15" s="4" t="s">
        <v>238</v>
      </c>
      <c r="F15" s="4" t="s">
        <v>17</v>
      </c>
      <c r="G15" s="4" t="s">
        <v>18</v>
      </c>
      <c r="H15" s="4" t="s">
        <v>19</v>
      </c>
      <c r="J15" s="4" t="s">
        <v>59</v>
      </c>
      <c r="K15" s="4" t="s">
        <v>21</v>
      </c>
      <c r="L15" s="4" t="s">
        <v>22</v>
      </c>
      <c r="M15" s="4" t="s">
        <v>86</v>
      </c>
    </row>
    <row r="16" spans="1:13" x14ac:dyDescent="0.35">
      <c r="A16" s="4" t="s">
        <v>87</v>
      </c>
      <c r="B16" s="4" t="s">
        <v>88</v>
      </c>
      <c r="C16" s="4" t="s">
        <v>89</v>
      </c>
      <c r="D16" s="4" t="s">
        <v>16</v>
      </c>
      <c r="E16" s="4" t="s">
        <v>238</v>
      </c>
      <c r="F16" s="4" t="s">
        <v>17</v>
      </c>
      <c r="G16" s="4" t="s">
        <v>18</v>
      </c>
      <c r="H16" s="4" t="s">
        <v>19</v>
      </c>
      <c r="J16" s="4" t="s">
        <v>90</v>
      </c>
      <c r="K16" s="4" t="s">
        <v>21</v>
      </c>
      <c r="L16" s="4" t="s">
        <v>22</v>
      </c>
      <c r="M16" s="4" t="s">
        <v>91</v>
      </c>
    </row>
    <row r="17" spans="1:13" x14ac:dyDescent="0.35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238</v>
      </c>
      <c r="F17" s="4" t="s">
        <v>17</v>
      </c>
      <c r="G17" s="4" t="s">
        <v>18</v>
      </c>
      <c r="H17" s="4" t="s">
        <v>19</v>
      </c>
      <c r="J17" s="4" t="s">
        <v>96</v>
      </c>
      <c r="K17" s="4" t="s">
        <v>21</v>
      </c>
      <c r="L17" s="4" t="s">
        <v>22</v>
      </c>
      <c r="M17" s="4" t="s">
        <v>97</v>
      </c>
    </row>
    <row r="18" spans="1:13" x14ac:dyDescent="0.35">
      <c r="A18" s="4" t="s">
        <v>98</v>
      </c>
      <c r="B18" s="4" t="s">
        <v>99</v>
      </c>
      <c r="C18" s="4" t="s">
        <v>100</v>
      </c>
      <c r="D18" s="4" t="s">
        <v>95</v>
      </c>
      <c r="E18" s="4" t="s">
        <v>238</v>
      </c>
      <c r="F18" s="4" t="s">
        <v>17</v>
      </c>
      <c r="G18" s="4" t="s">
        <v>18</v>
      </c>
      <c r="H18" s="4" t="s">
        <v>19</v>
      </c>
      <c r="J18" s="4" t="s">
        <v>96</v>
      </c>
      <c r="K18" s="4" t="s">
        <v>21</v>
      </c>
      <c r="L18" s="4" t="s">
        <v>22</v>
      </c>
      <c r="M18" s="4" t="s">
        <v>101</v>
      </c>
    </row>
    <row r="19" spans="1:13" x14ac:dyDescent="0.35">
      <c r="A19" s="4" t="s">
        <v>102</v>
      </c>
      <c r="B19" s="4" t="s">
        <v>103</v>
      </c>
      <c r="C19" s="4" t="s">
        <v>104</v>
      </c>
      <c r="E19" s="4" t="s">
        <v>238</v>
      </c>
      <c r="F19" s="4" t="s">
        <v>17</v>
      </c>
      <c r="G19" s="4" t="s">
        <v>18</v>
      </c>
      <c r="H19" s="4" t="s">
        <v>19</v>
      </c>
      <c r="M19" s="4" t="s">
        <v>105</v>
      </c>
    </row>
    <row r="20" spans="1:13" x14ac:dyDescent="0.35">
      <c r="A20" s="4" t="s">
        <v>106</v>
      </c>
      <c r="B20" s="4" t="s">
        <v>107</v>
      </c>
      <c r="C20" s="4" t="s">
        <v>108</v>
      </c>
      <c r="D20" s="4" t="s">
        <v>109</v>
      </c>
      <c r="E20" s="4" t="s">
        <v>238</v>
      </c>
      <c r="F20" s="4" t="s">
        <v>17</v>
      </c>
      <c r="G20" s="4" t="s">
        <v>18</v>
      </c>
      <c r="H20" s="4" t="s">
        <v>19</v>
      </c>
      <c r="J20" s="4" t="s">
        <v>20</v>
      </c>
      <c r="K20" s="4" t="s">
        <v>21</v>
      </c>
      <c r="L20" s="4" t="s">
        <v>22</v>
      </c>
      <c r="M20" s="4" t="s">
        <v>110</v>
      </c>
    </row>
    <row r="21" spans="1:13" x14ac:dyDescent="0.35">
      <c r="A21" s="4" t="s">
        <v>111</v>
      </c>
      <c r="B21" s="4" t="s">
        <v>112</v>
      </c>
      <c r="C21" s="4" t="s">
        <v>113</v>
      </c>
      <c r="D21" s="4" t="s">
        <v>38</v>
      </c>
      <c r="E21" s="4" t="s">
        <v>238</v>
      </c>
      <c r="F21" s="4" t="s">
        <v>17</v>
      </c>
      <c r="G21" s="4" t="s">
        <v>18</v>
      </c>
      <c r="H21" s="4" t="s">
        <v>19</v>
      </c>
      <c r="J21" s="4" t="s">
        <v>114</v>
      </c>
      <c r="K21" s="4" t="s">
        <v>115</v>
      </c>
      <c r="L21" s="4" t="s">
        <v>22</v>
      </c>
      <c r="M21" s="4" t="s">
        <v>116</v>
      </c>
    </row>
    <row r="22" spans="1:13" x14ac:dyDescent="0.35">
      <c r="A22" s="4" t="s">
        <v>117</v>
      </c>
      <c r="B22" s="4" t="s">
        <v>118</v>
      </c>
      <c r="C22" s="4" t="s">
        <v>119</v>
      </c>
      <c r="E22" s="4" t="s">
        <v>238</v>
      </c>
      <c r="F22" s="4" t="s">
        <v>17</v>
      </c>
      <c r="G22" s="4" t="s">
        <v>18</v>
      </c>
      <c r="H22" s="4" t="s">
        <v>19</v>
      </c>
      <c r="M22" s="4" t="s">
        <v>120</v>
      </c>
    </row>
    <row r="23" spans="1:13" x14ac:dyDescent="0.35">
      <c r="A23" s="4" t="s">
        <v>121</v>
      </c>
      <c r="B23" s="4" t="s">
        <v>122</v>
      </c>
      <c r="C23" s="4" t="s">
        <v>123</v>
      </c>
      <c r="E23" s="4" t="s">
        <v>238</v>
      </c>
      <c r="F23" s="4" t="s">
        <v>17</v>
      </c>
      <c r="G23" s="4" t="s">
        <v>18</v>
      </c>
      <c r="H23" s="4" t="s">
        <v>19</v>
      </c>
      <c r="M23" s="4" t="s">
        <v>124</v>
      </c>
    </row>
    <row r="24" spans="1:13" x14ac:dyDescent="0.35">
      <c r="A24" s="4" t="s">
        <v>125</v>
      </c>
      <c r="B24" s="4" t="s">
        <v>126</v>
      </c>
      <c r="C24" s="4" t="s">
        <v>127</v>
      </c>
      <c r="E24" s="4" t="s">
        <v>238</v>
      </c>
      <c r="F24" s="4" t="s">
        <v>17</v>
      </c>
      <c r="G24" s="4" t="s">
        <v>18</v>
      </c>
      <c r="H24" s="4" t="s">
        <v>19</v>
      </c>
      <c r="M24" s="4" t="s">
        <v>128</v>
      </c>
    </row>
    <row r="25" spans="1:13" x14ac:dyDescent="0.35">
      <c r="A25" s="4" t="s">
        <v>129</v>
      </c>
      <c r="B25" s="4" t="s">
        <v>130</v>
      </c>
      <c r="C25" s="4" t="s">
        <v>131</v>
      </c>
      <c r="E25" s="4" t="s">
        <v>238</v>
      </c>
      <c r="F25" s="4" t="s">
        <v>17</v>
      </c>
      <c r="G25" s="4" t="s">
        <v>18</v>
      </c>
      <c r="H25" s="4" t="s">
        <v>19</v>
      </c>
      <c r="M25" s="4" t="s">
        <v>128</v>
      </c>
    </row>
    <row r="26" spans="1:13" x14ac:dyDescent="0.35">
      <c r="A26" s="4" t="s">
        <v>132</v>
      </c>
      <c r="B26" s="4" t="s">
        <v>133</v>
      </c>
      <c r="C26" s="4" t="s">
        <v>134</v>
      </c>
      <c r="E26" s="4" t="s">
        <v>238</v>
      </c>
      <c r="F26" s="4" t="s">
        <v>17</v>
      </c>
      <c r="G26" s="4" t="s">
        <v>18</v>
      </c>
      <c r="H26" s="4" t="s">
        <v>19</v>
      </c>
      <c r="M26" s="4" t="s">
        <v>128</v>
      </c>
    </row>
    <row r="27" spans="1:13" x14ac:dyDescent="0.35">
      <c r="A27" s="4" t="s">
        <v>135</v>
      </c>
      <c r="B27" s="4" t="s">
        <v>136</v>
      </c>
      <c r="C27" s="4" t="s">
        <v>137</v>
      </c>
      <c r="E27" s="4" t="s">
        <v>238</v>
      </c>
      <c r="F27" s="4" t="s">
        <v>17</v>
      </c>
      <c r="G27" s="4" t="s">
        <v>18</v>
      </c>
      <c r="H27" s="4" t="s">
        <v>19</v>
      </c>
      <c r="M27" s="4" t="s">
        <v>128</v>
      </c>
    </row>
    <row r="28" spans="1:13" x14ac:dyDescent="0.35">
      <c r="A28" s="4" t="s">
        <v>138</v>
      </c>
      <c r="B28" s="4" t="s">
        <v>139</v>
      </c>
      <c r="C28" s="4" t="s">
        <v>140</v>
      </c>
      <c r="E28" s="4" t="s">
        <v>238</v>
      </c>
      <c r="F28" s="4" t="s">
        <v>17</v>
      </c>
      <c r="G28" s="4" t="s">
        <v>18</v>
      </c>
      <c r="H28" s="4" t="s">
        <v>19</v>
      </c>
      <c r="M28" s="4" t="s">
        <v>128</v>
      </c>
    </row>
    <row r="29" spans="1:13" x14ac:dyDescent="0.35">
      <c r="A29" s="4" t="s">
        <v>141</v>
      </c>
      <c r="B29" s="4" t="s">
        <v>142</v>
      </c>
      <c r="C29" s="4" t="s">
        <v>143</v>
      </c>
      <c r="D29" s="4" t="s">
        <v>16</v>
      </c>
      <c r="E29" s="4" t="s">
        <v>238</v>
      </c>
      <c r="F29" s="4" t="s">
        <v>17</v>
      </c>
      <c r="G29" s="4" t="s">
        <v>18</v>
      </c>
      <c r="H29" s="4" t="s">
        <v>19</v>
      </c>
      <c r="J29" s="4" t="s">
        <v>144</v>
      </c>
      <c r="K29" s="4" t="s">
        <v>21</v>
      </c>
      <c r="L29" s="4" t="s">
        <v>145</v>
      </c>
      <c r="M29" s="4" t="s">
        <v>146</v>
      </c>
    </row>
    <row r="30" spans="1:13" x14ac:dyDescent="0.35">
      <c r="A30" s="4" t="s">
        <v>147</v>
      </c>
      <c r="B30" s="4" t="s">
        <v>148</v>
      </c>
      <c r="C30" s="4" t="s">
        <v>149</v>
      </c>
      <c r="E30" s="4" t="s">
        <v>238</v>
      </c>
      <c r="F30" s="4" t="s">
        <v>17</v>
      </c>
      <c r="G30" s="4" t="s">
        <v>18</v>
      </c>
      <c r="H30" s="4" t="s">
        <v>19</v>
      </c>
      <c r="M30" s="4" t="s">
        <v>128</v>
      </c>
    </row>
    <row r="31" spans="1:13" x14ac:dyDescent="0.3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238</v>
      </c>
      <c r="F31" s="4" t="s">
        <v>17</v>
      </c>
      <c r="G31" s="4" t="s">
        <v>18</v>
      </c>
      <c r="H31" s="4" t="s">
        <v>19</v>
      </c>
      <c r="J31" s="4" t="s">
        <v>96</v>
      </c>
      <c r="K31" s="4" t="s">
        <v>21</v>
      </c>
      <c r="L31" s="4" t="s">
        <v>154</v>
      </c>
      <c r="M31" s="4" t="s">
        <v>155</v>
      </c>
    </row>
    <row r="32" spans="1:13" x14ac:dyDescent="0.35">
      <c r="A32" s="4" t="s">
        <v>156</v>
      </c>
      <c r="B32" s="4" t="s">
        <v>157</v>
      </c>
      <c r="C32" s="4" t="s">
        <v>158</v>
      </c>
      <c r="D32" s="4" t="s">
        <v>159</v>
      </c>
      <c r="E32" s="4" t="s">
        <v>238</v>
      </c>
      <c r="F32" s="4" t="s">
        <v>17</v>
      </c>
      <c r="G32" s="4" t="s">
        <v>18</v>
      </c>
      <c r="H32" s="4" t="s">
        <v>19</v>
      </c>
      <c r="J32" s="4" t="s">
        <v>144</v>
      </c>
      <c r="K32" s="4" t="s">
        <v>21</v>
      </c>
      <c r="L32" s="4" t="s">
        <v>145</v>
      </c>
      <c r="M32" s="4" t="s">
        <v>160</v>
      </c>
    </row>
    <row r="33" spans="1:13" x14ac:dyDescent="0.35">
      <c r="A33" s="4" t="s">
        <v>161</v>
      </c>
      <c r="B33" s="4" t="s">
        <v>162</v>
      </c>
      <c r="C33" s="4" t="s">
        <v>163</v>
      </c>
      <c r="E33" s="4" t="s">
        <v>238</v>
      </c>
      <c r="F33" s="4" t="s">
        <v>17</v>
      </c>
      <c r="G33" s="4" t="s">
        <v>18</v>
      </c>
      <c r="H33" s="4" t="s">
        <v>19</v>
      </c>
      <c r="M33" s="4" t="s">
        <v>164</v>
      </c>
    </row>
    <row r="34" spans="1:13" x14ac:dyDescent="0.35">
      <c r="A34" s="4" t="s">
        <v>165</v>
      </c>
      <c r="B34" s="4" t="s">
        <v>258</v>
      </c>
      <c r="C34" s="4" t="s">
        <v>167</v>
      </c>
      <c r="D34" s="4" t="s">
        <v>168</v>
      </c>
      <c r="E34" s="4" t="s">
        <v>238</v>
      </c>
      <c r="F34" s="4" t="s">
        <v>17</v>
      </c>
      <c r="G34" s="4" t="s">
        <v>18</v>
      </c>
      <c r="H34" s="4" t="s">
        <v>19</v>
      </c>
      <c r="J34" s="4" t="s">
        <v>169</v>
      </c>
      <c r="K34" s="4" t="s">
        <v>115</v>
      </c>
      <c r="L34" s="4" t="s">
        <v>170</v>
      </c>
      <c r="M34" s="4" t="s">
        <v>171</v>
      </c>
    </row>
    <row r="35" spans="1:13" x14ac:dyDescent="0.35">
      <c r="A35" s="4" t="s">
        <v>172</v>
      </c>
      <c r="B35" s="4" t="s">
        <v>173</v>
      </c>
      <c r="C35" s="4" t="s">
        <v>174</v>
      </c>
      <c r="E35" s="4" t="s">
        <v>238</v>
      </c>
      <c r="F35" s="4" t="s">
        <v>17</v>
      </c>
      <c r="G35" s="4" t="s">
        <v>18</v>
      </c>
      <c r="H35" s="4" t="s">
        <v>19</v>
      </c>
      <c r="M35" s="4" t="s">
        <v>175</v>
      </c>
    </row>
    <row r="36" spans="1:13" x14ac:dyDescent="0.35">
      <c r="A36" s="4" t="s">
        <v>176</v>
      </c>
      <c r="B36" s="4" t="s">
        <v>177</v>
      </c>
      <c r="C36" s="4" t="s">
        <v>178</v>
      </c>
      <c r="E36" s="4" t="s">
        <v>238</v>
      </c>
      <c r="F36" s="4" t="s">
        <v>17</v>
      </c>
      <c r="G36" s="4" t="s">
        <v>18</v>
      </c>
      <c r="H36" s="4" t="s">
        <v>19</v>
      </c>
      <c r="M36" s="4" t="s">
        <v>128</v>
      </c>
    </row>
    <row r="37" spans="1:13" x14ac:dyDescent="0.35">
      <c r="A37" s="4" t="s">
        <v>179</v>
      </c>
      <c r="B37" s="4" t="s">
        <v>180</v>
      </c>
      <c r="C37" s="4" t="s">
        <v>181</v>
      </c>
      <c r="D37" s="4" t="s">
        <v>38</v>
      </c>
      <c r="E37" s="4" t="s">
        <v>238</v>
      </c>
      <c r="F37" s="4" t="s">
        <v>17</v>
      </c>
      <c r="G37" s="4" t="s">
        <v>18</v>
      </c>
      <c r="H37" s="4" t="s">
        <v>19</v>
      </c>
      <c r="K37" s="4" t="s">
        <v>21</v>
      </c>
      <c r="L37" s="4" t="s">
        <v>145</v>
      </c>
      <c r="M37" s="4" t="s">
        <v>182</v>
      </c>
    </row>
    <row r="38" spans="1:13" x14ac:dyDescent="0.35">
      <c r="A38" s="4" t="s">
        <v>183</v>
      </c>
      <c r="B38" s="4" t="s">
        <v>184</v>
      </c>
      <c r="C38" s="4" t="s">
        <v>185</v>
      </c>
      <c r="D38" s="4" t="s">
        <v>186</v>
      </c>
      <c r="E38" s="4" t="s">
        <v>238</v>
      </c>
      <c r="F38" s="4" t="s">
        <v>17</v>
      </c>
      <c r="G38" s="4" t="s">
        <v>18</v>
      </c>
      <c r="H38" s="4" t="s">
        <v>19</v>
      </c>
      <c r="J38" s="4" t="s">
        <v>187</v>
      </c>
      <c r="K38" s="4" t="s">
        <v>188</v>
      </c>
      <c r="L38" s="4" t="s">
        <v>22</v>
      </c>
      <c r="M38" s="4" t="s">
        <v>189</v>
      </c>
    </row>
    <row r="39" spans="1:13" x14ac:dyDescent="0.35">
      <c r="A39" s="4" t="s">
        <v>190</v>
      </c>
      <c r="B39" s="4" t="s">
        <v>191</v>
      </c>
      <c r="C39" s="4" t="s">
        <v>192</v>
      </c>
      <c r="E39" s="4" t="s">
        <v>238</v>
      </c>
      <c r="F39" s="4" t="s">
        <v>17</v>
      </c>
      <c r="G39" s="4" t="s">
        <v>18</v>
      </c>
      <c r="H39" s="4" t="s">
        <v>19</v>
      </c>
      <c r="M39" s="4" t="s">
        <v>193</v>
      </c>
    </row>
    <row r="40" spans="1:13" x14ac:dyDescent="0.35">
      <c r="A40" s="4" t="s">
        <v>194</v>
      </c>
      <c r="B40" s="4" t="s">
        <v>195</v>
      </c>
      <c r="C40" s="4" t="s">
        <v>196</v>
      </c>
      <c r="E40" s="4" t="s">
        <v>238</v>
      </c>
      <c r="F40" s="4" t="s">
        <v>17</v>
      </c>
      <c r="G40" s="4" t="s">
        <v>18</v>
      </c>
      <c r="H40" s="4" t="s">
        <v>19</v>
      </c>
      <c r="M40" s="4" t="s">
        <v>197</v>
      </c>
    </row>
    <row r="41" spans="1:13" x14ac:dyDescent="0.35">
      <c r="A41" s="4" t="s">
        <v>198</v>
      </c>
      <c r="B41" s="4" t="s">
        <v>199</v>
      </c>
      <c r="C41" s="4" t="s">
        <v>200</v>
      </c>
      <c r="E41" s="4" t="s">
        <v>238</v>
      </c>
      <c r="F41" s="4" t="s">
        <v>17</v>
      </c>
      <c r="G41" s="4" t="s">
        <v>18</v>
      </c>
      <c r="H41" s="4" t="s">
        <v>19</v>
      </c>
      <c r="M41" s="4" t="s">
        <v>201</v>
      </c>
    </row>
    <row r="42" spans="1:13" x14ac:dyDescent="0.35">
      <c r="A42" s="4" t="s">
        <v>202</v>
      </c>
      <c r="B42" s="4" t="s">
        <v>203</v>
      </c>
      <c r="C42" s="4" t="s">
        <v>204</v>
      </c>
      <c r="D42" s="4" t="s">
        <v>205</v>
      </c>
      <c r="E42" s="4" t="s">
        <v>238</v>
      </c>
      <c r="F42" s="4" t="s">
        <v>17</v>
      </c>
      <c r="G42" s="4" t="s">
        <v>18</v>
      </c>
      <c r="H42" s="4" t="s">
        <v>19</v>
      </c>
      <c r="J42" s="4" t="s">
        <v>54</v>
      </c>
      <c r="K42" s="4" t="s">
        <v>21</v>
      </c>
      <c r="L42" s="4" t="s">
        <v>22</v>
      </c>
      <c r="M42" s="4" t="s">
        <v>206</v>
      </c>
    </row>
    <row r="43" spans="1:13" x14ac:dyDescent="0.3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238</v>
      </c>
      <c r="F43" s="4" t="s">
        <v>17</v>
      </c>
      <c r="G43" s="4" t="s">
        <v>18</v>
      </c>
      <c r="H43" s="4" t="s">
        <v>19</v>
      </c>
      <c r="J43" s="4" t="s">
        <v>77</v>
      </c>
      <c r="K43" s="4" t="s">
        <v>21</v>
      </c>
      <c r="L43" s="4" t="s">
        <v>22</v>
      </c>
      <c r="M43" s="4" t="s">
        <v>211</v>
      </c>
    </row>
    <row r="44" spans="1:13" x14ac:dyDescent="0.35">
      <c r="A44" s="4" t="s">
        <v>212</v>
      </c>
      <c r="B44" s="4" t="s">
        <v>213</v>
      </c>
      <c r="C44" s="4" t="s">
        <v>214</v>
      </c>
      <c r="D44" s="4" t="s">
        <v>215</v>
      </c>
      <c r="E44" s="4" t="s">
        <v>238</v>
      </c>
      <c r="F44" s="4" t="s">
        <v>17</v>
      </c>
      <c r="G44" s="4" t="s">
        <v>18</v>
      </c>
      <c r="H44" s="4" t="s">
        <v>19</v>
      </c>
      <c r="J44" s="4" t="s">
        <v>216</v>
      </c>
      <c r="K44" s="4" t="s">
        <v>21</v>
      </c>
      <c r="L44" s="4" t="s">
        <v>22</v>
      </c>
      <c r="M44" s="4" t="s">
        <v>217</v>
      </c>
    </row>
    <row r="45" spans="1:13" x14ac:dyDescent="0.3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238</v>
      </c>
      <c r="F45" s="4" t="s">
        <v>17</v>
      </c>
      <c r="G45" s="4" t="s">
        <v>18</v>
      </c>
      <c r="H45" s="4" t="s">
        <v>19</v>
      </c>
      <c r="J45" s="4" t="s">
        <v>222</v>
      </c>
      <c r="K45" s="4" t="s">
        <v>21</v>
      </c>
      <c r="L45" s="4" t="s">
        <v>22</v>
      </c>
      <c r="M45" s="4" t="s">
        <v>223</v>
      </c>
    </row>
  </sheetData>
  <autoFilter ref="A1:M45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baseColWidth="10" defaultColWidth="8.7265625" defaultRowHeight="14.5" x14ac:dyDescent="0.35"/>
  <cols>
    <col min="1" max="1" width="60" customWidth="1"/>
    <col min="2" max="2" width="10.81640625" hidden="1" customWidth="1"/>
    <col min="3" max="4" width="60" style="12" customWidth="1"/>
    <col min="5" max="5" width="88.7265625" bestFit="1" customWidth="1"/>
    <col min="6" max="6" width="13" customWidth="1"/>
    <col min="7" max="8" width="15" customWidth="1"/>
    <col min="9" max="9" width="13" customWidth="1"/>
    <col min="10" max="10" width="15" customWidth="1"/>
    <col min="11" max="12" width="12" customWidth="1"/>
  </cols>
  <sheetData>
    <row r="1" spans="1:12" ht="29" x14ac:dyDescent="0.35">
      <c r="A1" s="1" t="s">
        <v>0</v>
      </c>
      <c r="B1" s="1" t="s">
        <v>265</v>
      </c>
      <c r="C1" s="13" t="s">
        <v>259</v>
      </c>
      <c r="D1" s="13" t="s">
        <v>260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</row>
    <row r="2" spans="1:12" x14ac:dyDescent="0.35">
      <c r="A2" s="6" t="s">
        <v>13</v>
      </c>
      <c r="B2">
        <v>1</v>
      </c>
      <c r="C2" s="12" t="s">
        <v>14</v>
      </c>
      <c r="D2" s="12" t="s">
        <v>15</v>
      </c>
      <c r="E2" t="s">
        <v>23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</row>
    <row r="3" spans="1:12" x14ac:dyDescent="0.35">
      <c r="A3" s="6" t="s">
        <v>24</v>
      </c>
      <c r="B3">
        <v>1</v>
      </c>
      <c r="C3" s="12" t="s">
        <v>25</v>
      </c>
      <c r="D3" s="12" t="s">
        <v>26</v>
      </c>
      <c r="E3" t="s">
        <v>28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 spans="1:12" x14ac:dyDescent="0.35">
      <c r="A4" s="6" t="s">
        <v>29</v>
      </c>
      <c r="B4">
        <v>1</v>
      </c>
      <c r="C4" s="12" t="s">
        <v>30</v>
      </c>
      <c r="D4" s="12" t="s">
        <v>31</v>
      </c>
      <c r="E4" t="s">
        <v>34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</row>
    <row r="5" spans="1:12" x14ac:dyDescent="0.35">
      <c r="A5" s="6" t="s">
        <v>35</v>
      </c>
      <c r="B5">
        <v>1</v>
      </c>
      <c r="C5" s="12" t="s">
        <v>36</v>
      </c>
      <c r="D5" s="12" t="s">
        <v>37</v>
      </c>
      <c r="E5" t="s">
        <v>40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</row>
    <row r="6" spans="1:12" x14ac:dyDescent="0.35">
      <c r="A6" s="6" t="s">
        <v>41</v>
      </c>
      <c r="B6">
        <v>1</v>
      </c>
      <c r="C6" s="12" t="s">
        <v>42</v>
      </c>
      <c r="D6" s="12" t="s">
        <v>43</v>
      </c>
      <c r="E6" t="s">
        <v>45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</row>
    <row r="7" spans="1:12" x14ac:dyDescent="0.35">
      <c r="A7" t="s">
        <v>46</v>
      </c>
      <c r="B7">
        <v>1</v>
      </c>
      <c r="C7" s="12" t="s">
        <v>47</v>
      </c>
      <c r="D7" s="12" t="s">
        <v>48</v>
      </c>
      <c r="E7" t="s">
        <v>50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</row>
    <row r="8" spans="1:12" x14ac:dyDescent="0.35">
      <c r="A8" t="s">
        <v>51</v>
      </c>
      <c r="B8">
        <v>1</v>
      </c>
      <c r="C8" s="12" t="s">
        <v>52</v>
      </c>
      <c r="D8" s="12" t="s">
        <v>53</v>
      </c>
      <c r="E8" t="s">
        <v>55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 spans="1:12" x14ac:dyDescent="0.35">
      <c r="A9" t="s">
        <v>56</v>
      </c>
      <c r="B9">
        <v>1</v>
      </c>
      <c r="C9" s="12" t="s">
        <v>57</v>
      </c>
      <c r="D9" s="12" t="s">
        <v>58</v>
      </c>
      <c r="E9" t="s">
        <v>59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</row>
    <row r="10" spans="1:12" x14ac:dyDescent="0.35">
      <c r="A10" t="s">
        <v>60</v>
      </c>
      <c r="B10">
        <v>1</v>
      </c>
      <c r="C10" s="12" t="s">
        <v>61</v>
      </c>
      <c r="D10" s="12" t="s">
        <v>62</v>
      </c>
      <c r="E10" t="s">
        <v>63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</row>
    <row r="11" spans="1:12" x14ac:dyDescent="0.35">
      <c r="A11" t="s">
        <v>64</v>
      </c>
      <c r="C11" s="12" t="s">
        <v>65</v>
      </c>
      <c r="D11" s="12" t="s">
        <v>66</v>
      </c>
      <c r="E11" t="s">
        <v>67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</row>
    <row r="12" spans="1:12" x14ac:dyDescent="0.35">
      <c r="A12" t="s">
        <v>68</v>
      </c>
      <c r="C12" s="12" t="s">
        <v>69</v>
      </c>
      <c r="D12" s="12" t="s">
        <v>70</v>
      </c>
      <c r="E12" t="s">
        <v>73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</row>
    <row r="13" spans="1:12" x14ac:dyDescent="0.35">
      <c r="A13" t="s">
        <v>74</v>
      </c>
      <c r="C13" s="12" t="s">
        <v>75</v>
      </c>
      <c r="D13" s="12" t="s">
        <v>76</v>
      </c>
      <c r="E13" t="s">
        <v>78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</row>
    <row r="14" spans="1:12" x14ac:dyDescent="0.35">
      <c r="A14" t="s">
        <v>79</v>
      </c>
      <c r="C14" s="12" t="s">
        <v>80</v>
      </c>
      <c r="D14" s="12" t="s">
        <v>81</v>
      </c>
      <c r="E14" t="s">
        <v>82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</row>
    <row r="15" spans="1:12" x14ac:dyDescent="0.35">
      <c r="A15" t="s">
        <v>83</v>
      </c>
      <c r="C15" s="12" t="s">
        <v>84</v>
      </c>
      <c r="D15" s="12" t="s">
        <v>85</v>
      </c>
      <c r="E15" t="s">
        <v>86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</row>
    <row r="16" spans="1:12" x14ac:dyDescent="0.35">
      <c r="A16" t="s">
        <v>87</v>
      </c>
      <c r="C16" s="12" t="s">
        <v>88</v>
      </c>
      <c r="D16" s="12" t="s">
        <v>261</v>
      </c>
      <c r="E16" t="s">
        <v>91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</row>
    <row r="17" spans="1:11" x14ac:dyDescent="0.35">
      <c r="A17" t="s">
        <v>92</v>
      </c>
      <c r="C17" s="12" t="s">
        <v>93</v>
      </c>
      <c r="D17" s="12" t="s">
        <v>94</v>
      </c>
      <c r="E17" t="s">
        <v>97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</row>
    <row r="18" spans="1:11" x14ac:dyDescent="0.35">
      <c r="A18" t="s">
        <v>98</v>
      </c>
      <c r="C18" s="12" t="s">
        <v>99</v>
      </c>
      <c r="D18" s="12" t="s">
        <v>100</v>
      </c>
      <c r="E18" t="s">
        <v>101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</row>
    <row r="19" spans="1:11" x14ac:dyDescent="0.35">
      <c r="A19" t="s">
        <v>102</v>
      </c>
      <c r="C19" s="12" t="s">
        <v>103</v>
      </c>
      <c r="D19" s="12" t="s">
        <v>104</v>
      </c>
      <c r="E19" t="s">
        <v>105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</row>
    <row r="20" spans="1:11" x14ac:dyDescent="0.35">
      <c r="A20" t="s">
        <v>106</v>
      </c>
      <c r="C20" s="12" t="s">
        <v>107</v>
      </c>
      <c r="D20" s="12" t="s">
        <v>108</v>
      </c>
      <c r="E20" t="s">
        <v>110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</row>
    <row r="21" spans="1:11" x14ac:dyDescent="0.35">
      <c r="A21" t="s">
        <v>111</v>
      </c>
      <c r="C21" s="12" t="s">
        <v>112</v>
      </c>
      <c r="D21" s="12" t="s">
        <v>113</v>
      </c>
      <c r="E21" t="s">
        <v>116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</row>
    <row r="22" spans="1:11" x14ac:dyDescent="0.35">
      <c r="A22" t="s">
        <v>117</v>
      </c>
      <c r="C22" s="12" t="s">
        <v>118</v>
      </c>
      <c r="D22" s="12" t="s">
        <v>262</v>
      </c>
      <c r="E22" t="s">
        <v>120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</row>
    <row r="23" spans="1:11" x14ac:dyDescent="0.35">
      <c r="A23" t="s">
        <v>121</v>
      </c>
      <c r="C23" s="12" t="s">
        <v>122</v>
      </c>
      <c r="D23" s="12" t="s">
        <v>123</v>
      </c>
      <c r="E23" t="s">
        <v>124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</row>
    <row r="24" spans="1:11" x14ac:dyDescent="0.35">
      <c r="A24" s="5" t="s">
        <v>125</v>
      </c>
      <c r="C24" s="12" t="s">
        <v>126</v>
      </c>
      <c r="D24" s="12" t="s">
        <v>127</v>
      </c>
      <c r="E24" t="s">
        <v>128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</row>
    <row r="25" spans="1:11" x14ac:dyDescent="0.35">
      <c r="A25" s="5" t="s">
        <v>129</v>
      </c>
      <c r="C25" s="12" t="s">
        <v>130</v>
      </c>
      <c r="D25" s="12" t="s">
        <v>131</v>
      </c>
      <c r="E25" t="s">
        <v>128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</row>
    <row r="26" spans="1:11" x14ac:dyDescent="0.35">
      <c r="A26" s="5" t="s">
        <v>132</v>
      </c>
      <c r="C26" s="12" t="s">
        <v>133</v>
      </c>
      <c r="D26" s="12" t="s">
        <v>134</v>
      </c>
      <c r="E26" t="s">
        <v>128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</row>
    <row r="27" spans="1:11" x14ac:dyDescent="0.35">
      <c r="A27" s="5" t="s">
        <v>135</v>
      </c>
      <c r="C27" s="12" t="s">
        <v>136</v>
      </c>
      <c r="D27" s="12" t="s">
        <v>137</v>
      </c>
      <c r="E27" t="s">
        <v>128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</row>
    <row r="28" spans="1:11" x14ac:dyDescent="0.35">
      <c r="A28" s="5" t="s">
        <v>138</v>
      </c>
      <c r="C28" s="12" t="s">
        <v>139</v>
      </c>
      <c r="D28" s="12" t="s">
        <v>140</v>
      </c>
      <c r="E28" t="s">
        <v>128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</row>
    <row r="29" spans="1:11" x14ac:dyDescent="0.35">
      <c r="A29" t="s">
        <v>141</v>
      </c>
      <c r="C29" s="12" t="s">
        <v>142</v>
      </c>
      <c r="D29" s="12" t="s">
        <v>143</v>
      </c>
      <c r="E29" t="s">
        <v>146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</row>
    <row r="30" spans="1:11" x14ac:dyDescent="0.35">
      <c r="A30" t="s">
        <v>147</v>
      </c>
      <c r="C30" s="12" t="s">
        <v>148</v>
      </c>
      <c r="D30" s="12" t="s">
        <v>149</v>
      </c>
      <c r="E30" t="s">
        <v>128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</row>
    <row r="31" spans="1:11" x14ac:dyDescent="0.35">
      <c r="A31" t="s">
        <v>150</v>
      </c>
      <c r="C31" s="12" t="s">
        <v>151</v>
      </c>
      <c r="D31" s="12" t="s">
        <v>152</v>
      </c>
      <c r="E31" s="9" t="s">
        <v>251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</row>
    <row r="32" spans="1:11" x14ac:dyDescent="0.35">
      <c r="A32" t="s">
        <v>156</v>
      </c>
      <c r="C32" s="12" t="s">
        <v>157</v>
      </c>
      <c r="D32" s="12" t="s">
        <v>158</v>
      </c>
      <c r="E32" t="s">
        <v>160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</row>
    <row r="33" spans="1:11" x14ac:dyDescent="0.35">
      <c r="A33" t="s">
        <v>161</v>
      </c>
      <c r="C33" s="12" t="s">
        <v>162</v>
      </c>
      <c r="D33" s="12" t="s">
        <v>163</v>
      </c>
      <c r="E33" t="s">
        <v>164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</row>
    <row r="34" spans="1:11" x14ac:dyDescent="0.35">
      <c r="A34" t="s">
        <v>165</v>
      </c>
      <c r="C34" s="12" t="s">
        <v>166</v>
      </c>
      <c r="D34" s="12" t="s">
        <v>263</v>
      </c>
      <c r="E34" t="s">
        <v>171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</row>
    <row r="35" spans="1:11" x14ac:dyDescent="0.35">
      <c r="A35" t="s">
        <v>172</v>
      </c>
      <c r="C35" s="12" t="s">
        <v>173</v>
      </c>
      <c r="D35" s="12" t="s">
        <v>174</v>
      </c>
      <c r="E35" t="s">
        <v>175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</row>
    <row r="36" spans="1:11" x14ac:dyDescent="0.35">
      <c r="A36" t="s">
        <v>176</v>
      </c>
      <c r="C36" s="12" t="s">
        <v>264</v>
      </c>
      <c r="D36" s="12" t="s">
        <v>178</v>
      </c>
      <c r="E36" t="s">
        <v>128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</row>
    <row r="37" spans="1:11" x14ac:dyDescent="0.35">
      <c r="A37" t="s">
        <v>179</v>
      </c>
      <c r="C37" s="12" t="s">
        <v>180</v>
      </c>
      <c r="D37" s="12" t="s">
        <v>181</v>
      </c>
      <c r="E37" t="s">
        <v>182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</row>
    <row r="38" spans="1:11" x14ac:dyDescent="0.35">
      <c r="A38" t="s">
        <v>183</v>
      </c>
      <c r="C38" s="12" t="s">
        <v>184</v>
      </c>
      <c r="D38" s="12" t="s">
        <v>185</v>
      </c>
      <c r="E38" t="s">
        <v>189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</row>
    <row r="39" spans="1:11" x14ac:dyDescent="0.35">
      <c r="A39" t="s">
        <v>190</v>
      </c>
      <c r="C39" s="12" t="s">
        <v>191</v>
      </c>
      <c r="D39" s="12" t="s">
        <v>192</v>
      </c>
      <c r="E39" t="s">
        <v>193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</row>
    <row r="40" spans="1:11" x14ac:dyDescent="0.35">
      <c r="A40" t="s">
        <v>194</v>
      </c>
      <c r="C40" s="12" t="s">
        <v>195</v>
      </c>
      <c r="D40" s="12" t="s">
        <v>196</v>
      </c>
      <c r="E40" t="s">
        <v>197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</row>
    <row r="41" spans="1:11" x14ac:dyDescent="0.35">
      <c r="A41" t="s">
        <v>198</v>
      </c>
      <c r="C41" s="12" t="s">
        <v>199</v>
      </c>
      <c r="D41" s="12" t="s">
        <v>200</v>
      </c>
      <c r="E41" t="s">
        <v>201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</row>
    <row r="42" spans="1:11" x14ac:dyDescent="0.35">
      <c r="A42" t="s">
        <v>202</v>
      </c>
      <c r="C42" s="12" t="s">
        <v>203</v>
      </c>
      <c r="D42" s="12" t="s">
        <v>204</v>
      </c>
      <c r="E42" t="s">
        <v>206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</row>
    <row r="43" spans="1:11" x14ac:dyDescent="0.35">
      <c r="A43" t="s">
        <v>207</v>
      </c>
      <c r="C43" s="12" t="s">
        <v>208</v>
      </c>
      <c r="D43" s="12" t="s">
        <v>209</v>
      </c>
      <c r="E43" t="s">
        <v>211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</row>
    <row r="44" spans="1:11" x14ac:dyDescent="0.35">
      <c r="A44" t="s">
        <v>212</v>
      </c>
      <c r="C44" s="12" t="s">
        <v>213</v>
      </c>
      <c r="D44" s="12" t="s">
        <v>214</v>
      </c>
      <c r="E44" t="s">
        <v>217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</row>
    <row r="45" spans="1:11" x14ac:dyDescent="0.35">
      <c r="A45" t="s">
        <v>218</v>
      </c>
      <c r="C45" s="12" t="s">
        <v>219</v>
      </c>
      <c r="D45" s="12" t="s">
        <v>220</v>
      </c>
      <c r="E45" t="s">
        <v>223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</row>
  </sheetData>
  <autoFilter ref="A1:L45" xr:uid="{00000000-0001-0000-0100-000000000000}"/>
  <conditionalFormatting sqref="K2:K45">
    <cfRule type="cellIs" dxfId="1" priority="1" operator="equal">
      <formula>TRUE</formula>
    </cfRule>
    <cfRule type="cellIs" dxfId="0" priority="2" operator="equal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BD28-1396-4258-896F-9C0A8CE9B129}">
  <dimension ref="A1:G45"/>
  <sheetViews>
    <sheetView workbookViewId="0">
      <pane xSplit="3" ySplit="1" topLeftCell="D5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baseColWidth="10" defaultRowHeight="14.5" x14ac:dyDescent="0.35"/>
  <cols>
    <col min="1" max="1" width="55.453125" customWidth="1"/>
    <col min="2" max="2" width="17.54296875" bestFit="1" customWidth="1"/>
    <col min="3" max="3" width="12.36328125" customWidth="1"/>
    <col min="4" max="4" width="60.36328125" bestFit="1" customWidth="1"/>
    <col min="5" max="5" width="46.81640625" customWidth="1"/>
    <col min="6" max="6" width="51.08984375" customWidth="1"/>
    <col min="7" max="7" width="66.6328125" bestFit="1" customWidth="1"/>
  </cols>
  <sheetData>
    <row r="1" spans="1:7" ht="29" x14ac:dyDescent="0.35">
      <c r="A1" s="8" t="s">
        <v>0</v>
      </c>
      <c r="B1" s="10" t="s">
        <v>256</v>
      </c>
      <c r="C1" s="14" t="s">
        <v>265</v>
      </c>
      <c r="D1" s="8" t="s">
        <v>259</v>
      </c>
      <c r="E1" s="8" t="s">
        <v>260</v>
      </c>
      <c r="F1" s="8" t="s">
        <v>239</v>
      </c>
      <c r="G1" s="8" t="s">
        <v>2</v>
      </c>
    </row>
    <row r="2" spans="1:7" x14ac:dyDescent="0.35">
      <c r="A2" s="7" t="s">
        <v>60</v>
      </c>
      <c r="B2" s="7" t="s">
        <v>253</v>
      </c>
      <c r="C2" s="7"/>
      <c r="D2" s="16" t="str">
        <f>VLOOKUP(A2,Audit_SMART!$A$1:$D$45,3,FALSE)</f>
        <v>Fidélisation par filière.</v>
      </c>
      <c r="E2" s="7" t="str">
        <f>VLOOKUP(A2,Audit_SMART!$A$1:$D$45,4,FALSE)</f>
        <v>Consultants en rebond / fins de mission (filière).</v>
      </c>
      <c r="F2" s="7" t="s">
        <v>245</v>
      </c>
      <c r="G2" s="7" t="s">
        <v>62</v>
      </c>
    </row>
    <row r="3" spans="1:7" x14ac:dyDescent="0.35">
      <c r="A3" s="7" t="s">
        <v>64</v>
      </c>
      <c r="B3" s="7" t="s">
        <v>253</v>
      </c>
      <c r="C3" s="7"/>
      <c r="D3" s="16" t="str">
        <f>VLOOKUP(A3,Audit_SMART!$A$1:$D$45,3,FALSE)</f>
        <v>Attrition par filière.</v>
      </c>
      <c r="E3" s="7" t="str">
        <f>VLOOKUP(A3,Audit_SMART!$A$1:$D$45,4,FALSE)</f>
        <v>Consultants sortis / actifs (filière).</v>
      </c>
      <c r="F3" s="7" t="s">
        <v>245</v>
      </c>
      <c r="G3" s="7" t="s">
        <v>66</v>
      </c>
    </row>
    <row r="4" spans="1:7" x14ac:dyDescent="0.35">
      <c r="A4" s="7" t="s">
        <v>83</v>
      </c>
      <c r="B4" s="7" t="s">
        <v>255</v>
      </c>
      <c r="C4" s="7"/>
      <c r="D4" s="16" t="str">
        <f>VLOOKUP(A4,Audit_SMART!$A$1:$D$45,3,FALSE)</f>
        <v>Performance sur AO complexes par filière.</v>
      </c>
      <c r="E4" s="7" t="str">
        <f>VLOOKUP(A4,Audit_SMART!$A$1:$D$45,4,FALSE)</f>
        <v>AO gagnés / répondus (filière).</v>
      </c>
      <c r="F4" s="7" t="s">
        <v>248</v>
      </c>
      <c r="G4" s="7" t="s">
        <v>85</v>
      </c>
    </row>
    <row r="5" spans="1:7" x14ac:dyDescent="0.35">
      <c r="A5" s="7" t="s">
        <v>129</v>
      </c>
      <c r="B5" s="7" t="s">
        <v>255</v>
      </c>
      <c r="C5" s="7"/>
      <c r="D5" s="16" t="str">
        <f>VLOOKUP(A5,Audit_SMART!$A$1:$D$45,3,FALSE)</f>
        <v>Qualité technique garantie par filière.</v>
      </c>
      <c r="E5" s="7" t="str">
        <f>VLOOKUP(A5,Audit_SMART!$A$1:$D$45,4,FALSE)</f>
        <v>Nb dossiers validés / nb créés (filière).</v>
      </c>
      <c r="F5" s="7" t="s">
        <v>248</v>
      </c>
      <c r="G5" s="7" t="s">
        <v>131</v>
      </c>
    </row>
    <row r="6" spans="1:7" x14ac:dyDescent="0.35">
      <c r="A6" s="7" t="s">
        <v>138</v>
      </c>
      <c r="B6" s="7" t="s">
        <v>255</v>
      </c>
      <c r="C6" s="7"/>
      <c r="D6" s="16" t="str">
        <f>VLOOKUP(A6,Audit_SMART!$A$1:$D$45,3,FALSE)</f>
        <v>Qualité de préparation par filière.</v>
      </c>
      <c r="E6" s="7" t="str">
        <f>VLOOKUP(A6,Audit_SMART!$A$1:$D$45,4,FALSE)</f>
        <v>Nb consultants préparés / nb envoyés en entretien (filière).</v>
      </c>
      <c r="F6" s="7" t="s">
        <v>248</v>
      </c>
      <c r="G6" s="7" t="s">
        <v>140</v>
      </c>
    </row>
    <row r="7" spans="1:7" x14ac:dyDescent="0.35">
      <c r="A7" s="7" t="s">
        <v>172</v>
      </c>
      <c r="B7" s="7" t="s">
        <v>255</v>
      </c>
      <c r="C7" s="7"/>
      <c r="D7" s="15" t="str">
        <f>VLOOKUP(A7,Audit_SMART!$A$1:$D$45,3,FALSE)</f>
        <v>Capacité à livrer par site-clé.</v>
      </c>
      <c r="E7" s="7" t="str">
        <f>VLOOKUP(A7,Audit_SMART!$A$1:$D$45,4,FALSE)</f>
        <v>% typologies avec ≥3 profils par site.</v>
      </c>
      <c r="F7" s="7" t="s">
        <v>248</v>
      </c>
      <c r="G7" s="7" t="s">
        <v>174</v>
      </c>
    </row>
    <row r="8" spans="1:7" x14ac:dyDescent="0.35">
      <c r="A8" s="7" t="s">
        <v>176</v>
      </c>
      <c r="B8" s="7" t="s">
        <v>255</v>
      </c>
      <c r="C8" s="7"/>
      <c r="D8" s="15" t="str">
        <f>VLOOKUP(A8,Audit_SMART!$A$1:$D$45,3,FALSE)</f>
        <v>Réactivité “time-to-present”.</v>
      </c>
      <c r="E8" s="7" t="str">
        <f>VLOOKUP(A8,Audit_SMART!$A$1:$D$45,4,FALSE)</f>
        <v>Nb cas avec 3 profils &lt;1h / nb besoins récurrents.</v>
      </c>
      <c r="F8" s="7" t="s">
        <v>248</v>
      </c>
      <c r="G8" s="7" t="s">
        <v>178</v>
      </c>
    </row>
    <row r="9" spans="1:7" x14ac:dyDescent="0.35">
      <c r="A9" s="7" t="s">
        <v>194</v>
      </c>
      <c r="B9" s="7" t="s">
        <v>255</v>
      </c>
      <c r="C9" s="7"/>
      <c r="D9" s="15" t="str">
        <f>VLOOKUP(A9,Audit_SMART!$A$1:$D$45,3,FALSE)</f>
        <v>Part des missions en régie dans la filière considérée.</v>
      </c>
      <c r="E9" s="7" t="str">
        <f>VLOOKUP(A9,Audit_SMART!$A$1:$D$45,4,FALSE)</f>
        <v>Nb missions régie (filière) / Nb missions totales (filière).</v>
      </c>
      <c r="F9" s="7" t="s">
        <v>248</v>
      </c>
      <c r="G9" s="7" t="s">
        <v>196</v>
      </c>
    </row>
    <row r="10" spans="1:7" x14ac:dyDescent="0.35">
      <c r="A10" s="7" t="s">
        <v>24</v>
      </c>
      <c r="B10" s="7" t="s">
        <v>252</v>
      </c>
      <c r="C10" s="7"/>
      <c r="D10" s="16" t="str">
        <f>VLOOKUP(A10,Audit_SMART!$A$1:$D$45,3,FALSE)</f>
        <v>Taille du vivier par filière.</v>
      </c>
      <c r="E10" s="7" t="str">
        <f>VLOOKUP(A10,Audit_SMART!$A$1:$D$45,4,FALSE)</f>
        <v>Comptage profils actifs dans le vivier.</v>
      </c>
      <c r="F10" s="7" t="s">
        <v>241</v>
      </c>
      <c r="G10" s="7" t="s">
        <v>26</v>
      </c>
    </row>
    <row r="11" spans="1:7" x14ac:dyDescent="0.35">
      <c r="A11" s="7" t="s">
        <v>29</v>
      </c>
      <c r="B11" s="7" t="s">
        <v>252</v>
      </c>
      <c r="C11" s="7"/>
      <c r="D11" s="16" t="str">
        <f>VLOOKUP(A11,Audit_SMART!$A$1:$D$45,3,FALSE)</f>
        <v>Évolution du vivier par filière.</v>
      </c>
      <c r="E11" s="7" t="str">
        <f>VLOOKUP(A11,Audit_SMART!$A$1:$D$45,4,FALSE)</f>
        <v>Δ vivier filière / période.</v>
      </c>
      <c r="F11" s="7" t="s">
        <v>241</v>
      </c>
      <c r="G11" s="7" t="s">
        <v>31</v>
      </c>
    </row>
    <row r="12" spans="1:7" x14ac:dyDescent="0.35">
      <c r="A12" s="7" t="s">
        <v>125</v>
      </c>
      <c r="B12" s="7" t="s">
        <v>252</v>
      </c>
      <c r="C12" s="7"/>
      <c r="D12" s="16" t="str">
        <f>VLOOKUP(A12,Audit_SMART!$A$1:$D$45,3,FALSE)</f>
        <v>Disponibilité des dossiers par filière.</v>
      </c>
      <c r="E12" s="7" t="str">
        <f>VLOOKUP(A12,Audit_SMART!$A$1:$D$45,4,FALSE)</f>
        <v>Nb candidats pertinents avec dossier / nb pertinents (filière).</v>
      </c>
      <c r="F12" s="7" t="s">
        <v>241</v>
      </c>
      <c r="G12" s="7" t="s">
        <v>127</v>
      </c>
    </row>
    <row r="13" spans="1:7" x14ac:dyDescent="0.35">
      <c r="A13" s="7" t="s">
        <v>132</v>
      </c>
      <c r="B13" s="7" t="s">
        <v>252</v>
      </c>
      <c r="C13" s="7"/>
      <c r="D13" s="16" t="str">
        <f>VLOOKUP(A13,Audit_SMART!$A$1:$D$45,3,FALSE)</f>
        <v>Réflexe de collecte par filière.</v>
      </c>
      <c r="E13" s="7" t="str">
        <f>VLOOKUP(A13,Audit_SMART!$A$1:$D$45,4,FALSE)</f>
        <v>Nb candidats avec refs / nb entretiens (filière).</v>
      </c>
      <c r="F13" s="7" t="s">
        <v>241</v>
      </c>
      <c r="G13" s="7" t="s">
        <v>134</v>
      </c>
    </row>
    <row r="14" spans="1:7" x14ac:dyDescent="0.35">
      <c r="A14" s="7" t="s">
        <v>135</v>
      </c>
      <c r="B14" s="7" t="s">
        <v>252</v>
      </c>
      <c r="C14" s="7"/>
      <c r="D14" s="16" t="str">
        <f>VLOOKUP(A14,Audit_SMART!$A$1:$D$45,3,FALSE)</f>
        <v>Crédibilisation par filière.</v>
      </c>
      <c r="E14" s="7" t="str">
        <f>VLOOKUP(A14,Audit_SMART!$A$1:$D$45,4,FALSE)</f>
        <v>Nb candidats avec ≥1 ref vérifiée / nb candidats proposés (filière).</v>
      </c>
      <c r="F14" s="7" t="s">
        <v>241</v>
      </c>
      <c r="G14" s="7" t="s">
        <v>137</v>
      </c>
    </row>
    <row r="15" spans="1:7" x14ac:dyDescent="0.35">
      <c r="A15" s="7" t="s">
        <v>150</v>
      </c>
      <c r="B15" s="7" t="s">
        <v>252</v>
      </c>
      <c r="C15" s="7"/>
      <c r="D15" s="15" t="str">
        <f>VLOOKUP(A15,Audit_SMART!$A$1:$D$45,3,FALSE)</f>
        <v>Nombre de viviers maintenus par typologie.</v>
      </c>
      <c r="E15" s="7" t="str">
        <f>VLOOKUP(A15,Audit_SMART!$A$1:$D$45,4,FALSE)</f>
        <v>Comptage viviers actifs.</v>
      </c>
      <c r="F15" s="7" t="s">
        <v>241</v>
      </c>
      <c r="G15" s="7" t="s">
        <v>152</v>
      </c>
    </row>
    <row r="16" spans="1:7" x14ac:dyDescent="0.35">
      <c r="A16" s="7" t="s">
        <v>156</v>
      </c>
      <c r="B16" s="7" t="s">
        <v>252</v>
      </c>
      <c r="C16" s="7"/>
      <c r="D16" s="15" t="str">
        <f>VLOOKUP(A16,Audit_SMART!$A$1:$D$45,3,FALSE)</f>
        <v>Capacité à répondre immédiatement.</v>
      </c>
      <c r="E16" s="7" t="str">
        <f>VLOOKUP(A16,Audit_SMART!$A$1:$D$45,4,FALSE)</f>
        <v>Moyenne nb profils disponibles par vivier.</v>
      </c>
      <c r="F16" s="7" t="s">
        <v>241</v>
      </c>
      <c r="G16" s="7" t="s">
        <v>158</v>
      </c>
    </row>
    <row r="17" spans="1:7" x14ac:dyDescent="0.35">
      <c r="A17" s="7" t="s">
        <v>161</v>
      </c>
      <c r="B17" s="7" t="s">
        <v>252</v>
      </c>
      <c r="C17" s="7"/>
      <c r="D17" s="15" t="str">
        <f>VLOOKUP(A17,Audit_SMART!$A$1:$D$45,3,FALSE)</f>
        <v>Couverture des typologies récurrentes.</v>
      </c>
      <c r="E17" s="7" t="str">
        <f>VLOOKUP(A17,Audit_SMART!$A$1:$D$45,4,FALSE)</f>
        <v>Typologies avec ≥3 profils / nb typologies.</v>
      </c>
      <c r="F17" s="7" t="s">
        <v>241</v>
      </c>
      <c r="G17" s="7" t="s">
        <v>163</v>
      </c>
    </row>
    <row r="18" spans="1:7" x14ac:dyDescent="0.35">
      <c r="A18" s="7" t="s">
        <v>165</v>
      </c>
      <c r="B18" s="7" t="s">
        <v>252</v>
      </c>
      <c r="C18" s="7"/>
      <c r="D18" s="15" t="str">
        <f>VLOOKUP(A18,Audit_SMART!$A$1:$D$45,3,FALSE)</f>
        <v>Temps pour alimenter un vivier après identification.</v>
      </c>
      <c r="E18" s="7" t="str">
        <f>VLOOKUP(A18,Audit_SMART!$A$1:$D$45,4,FALSE)</f>
        <v>Date constitution vivier – date identification.</v>
      </c>
      <c r="F18" s="7" t="s">
        <v>241</v>
      </c>
      <c r="G18" s="7" t="s">
        <v>167</v>
      </c>
    </row>
    <row r="19" spans="1:7" x14ac:dyDescent="0.35">
      <c r="A19" s="7" t="s">
        <v>183</v>
      </c>
      <c r="B19" s="7" t="s">
        <v>252</v>
      </c>
      <c r="C19" s="7"/>
      <c r="D19" s="15" t="str">
        <f>VLOOKUP(A19,Audit_SMART!$A$1:$D$45,3,FALSE)</f>
        <v>Répartition de la construction vivier.</v>
      </c>
      <c r="E19" s="7" t="str">
        <f>VLOOKUP(A19,Audit_SMART!$A$1:$D$45,4,FALSE)</f>
        <v>Viviers apportés DT / viviers totaux.</v>
      </c>
      <c r="F19" s="7" t="s">
        <v>241</v>
      </c>
      <c r="G19" s="7" t="s">
        <v>185</v>
      </c>
    </row>
    <row r="20" spans="1:7" x14ac:dyDescent="0.35">
      <c r="A20" s="7" t="s">
        <v>190</v>
      </c>
      <c r="B20" s="7" t="s">
        <v>252</v>
      </c>
      <c r="C20" s="7"/>
      <c r="D20" s="15" t="str">
        <f>VLOOKUP(A20,Audit_SMART!$A$1:$D$45,3,FALSE)</f>
        <v>Fraîcheur des viviers.</v>
      </c>
      <c r="E20" s="7" t="str">
        <f>VLOOKUP(A20,Audit_SMART!$A$1:$D$45,4,FALSE)</f>
        <v>Profils mis à jour / profils vivier (6 mois).</v>
      </c>
      <c r="F20" s="7" t="s">
        <v>241</v>
      </c>
      <c r="G20" s="7" t="s">
        <v>192</v>
      </c>
    </row>
    <row r="21" spans="1:7" x14ac:dyDescent="0.35">
      <c r="A21" s="7" t="s">
        <v>13</v>
      </c>
      <c r="B21" s="7" t="s">
        <v>254</v>
      </c>
      <c r="C21" s="7"/>
      <c r="D21" s="16" t="str">
        <f>VLOOKUP(A21,Audit_SMART!$A$1:$D$45,3,FALSE)</f>
        <v>Volume de besoins par filière d’excellence.</v>
      </c>
      <c r="E21" s="7" t="str">
        <f>VLOOKUP(A21,Audit_SMART!$A$1:$D$45,4,FALSE)</f>
        <v>Comptage besoins tagués filière.</v>
      </c>
      <c r="F21" s="7" t="s">
        <v>240</v>
      </c>
      <c r="G21" s="7" t="s">
        <v>15</v>
      </c>
    </row>
    <row r="22" spans="1:7" x14ac:dyDescent="0.35">
      <c r="A22" s="7" t="s">
        <v>46</v>
      </c>
      <c r="B22" s="7" t="s">
        <v>254</v>
      </c>
      <c r="C22" s="7"/>
      <c r="D22" s="16" t="str">
        <f>VLOOKUP(A22,Audit_SMART!$A$1:$D$45,3,FALSE)</f>
        <v>Mobilisation soutenances par filière.</v>
      </c>
      <c r="E22" s="7" t="str">
        <f>VLOOKUP(A22,Audit_SMART!$A$1:$D$45,4,FALSE)</f>
        <v>Soutenances / besoins (filière).</v>
      </c>
      <c r="F22" s="7" t="s">
        <v>240</v>
      </c>
      <c r="G22" s="7" t="s">
        <v>48</v>
      </c>
    </row>
    <row r="23" spans="1:7" x14ac:dyDescent="0.35">
      <c r="A23" s="7" t="s">
        <v>147</v>
      </c>
      <c r="B23" s="7" t="s">
        <v>254</v>
      </c>
      <c r="C23" s="7"/>
      <c r="D23" s="15" t="str">
        <f>VLOOKUP(A23,Audit_SMART!$A$1:$D$45,3,FALSE)</f>
        <v>Industrialisation (fiche poste, TJM, soft skills).</v>
      </c>
      <c r="E23" s="7" t="str">
        <f>VLOOKUP(A23,Audit_SMART!$A$1:$D$45,4,FALSE)</f>
        <v>Nb typologies avec fiche / nb typologies cibles.</v>
      </c>
      <c r="F23" s="7" t="s">
        <v>240</v>
      </c>
      <c r="G23" s="7" t="s">
        <v>149</v>
      </c>
    </row>
    <row r="24" spans="1:7" x14ac:dyDescent="0.35">
      <c r="A24" s="7" t="s">
        <v>179</v>
      </c>
      <c r="B24" s="7" t="s">
        <v>254</v>
      </c>
      <c r="C24" s="7"/>
      <c r="D24" s="15" t="str">
        <f>VLOOKUP(A24,Audit_SMART!$A$1:$D$45,3,FALSE)</f>
        <v>Synchronisation LF→DT.</v>
      </c>
      <c r="E24" s="7" t="str">
        <f>VLOOKUP(A24,Audit_SMART!$A$1:$D$45,4,FALSE)</f>
        <v>Comptage besoins transmis aux DT.</v>
      </c>
      <c r="F24" s="7" t="s">
        <v>240</v>
      </c>
      <c r="G24" s="7" t="s">
        <v>181</v>
      </c>
    </row>
    <row r="25" spans="1:7" x14ac:dyDescent="0.35">
      <c r="A25" s="7" t="s">
        <v>79</v>
      </c>
      <c r="B25" s="7" t="s">
        <v>254</v>
      </c>
      <c r="C25" s="7"/>
      <c r="D25" s="16" t="str">
        <f>VLOOKUP(A25,Audit_SMART!$A$1:$D$45,3,FALSE)</f>
        <v>Ancrage client par filière.</v>
      </c>
      <c r="E25" s="7" t="str">
        <f>VLOOKUP(A25,Audit_SMART!$A$1:$D$45,4,FALSE)</f>
        <v>Comptage référencements par filière.</v>
      </c>
      <c r="F25" s="7" t="s">
        <v>247</v>
      </c>
      <c r="G25" s="7" t="s">
        <v>81</v>
      </c>
    </row>
    <row r="26" spans="1:7" x14ac:dyDescent="0.35">
      <c r="A26" s="7" t="s">
        <v>68</v>
      </c>
      <c r="B26" s="7" t="s">
        <v>254</v>
      </c>
      <c r="C26" s="7"/>
      <c r="D26" s="16" t="str">
        <f>VLOOKUP(A26,Audit_SMART!$A$1:$D$45,3,FALSE)</f>
        <v>Industrialisation de l’offre par filière.</v>
      </c>
      <c r="E26" s="7" t="str">
        <f>VLOOKUP(A26,Audit_SMART!$A$1:$D$45,4,FALSE)</f>
        <v>Comptage offres packagées actives.</v>
      </c>
      <c r="F26" s="7" t="s">
        <v>246</v>
      </c>
      <c r="G26" s="7" t="s">
        <v>70</v>
      </c>
    </row>
    <row r="27" spans="1:7" x14ac:dyDescent="0.35">
      <c r="A27" s="7" t="s">
        <v>74</v>
      </c>
      <c r="B27" s="7" t="s">
        <v>254</v>
      </c>
      <c r="C27" s="7"/>
      <c r="D27" s="15" t="str">
        <f>VLOOKUP(A27,Audit_SMART!$A$1:$D$45,3,FALSE)</f>
        <v>Performance des offres packagées.</v>
      </c>
      <c r="E27" s="7" t="str">
        <f>VLOOKUP(A27,Audit_SMART!$A$1:$D$45,4,FALSE)</f>
        <v>Gagnées / présentées (filière).</v>
      </c>
      <c r="F27" s="7" t="s">
        <v>246</v>
      </c>
      <c r="G27" s="7" t="s">
        <v>76</v>
      </c>
    </row>
    <row r="28" spans="1:7" x14ac:dyDescent="0.35">
      <c r="A28" s="7" t="s">
        <v>198</v>
      </c>
      <c r="B28" s="7" t="s">
        <v>254</v>
      </c>
      <c r="C28" s="7"/>
      <c r="D28" s="15" t="str">
        <f>VLOOKUP(A28,Audit_SMART!$A$1:$D$45,3,FALSE)</f>
        <v>Part des prestations packagées dans la filière considérée.</v>
      </c>
      <c r="E28" s="7" t="str">
        <f>VLOOKUP(A28,Audit_SMART!$A$1:$D$45,4,FALSE)</f>
        <v>Nb missions packagées (filière) / Nb missions totales (filière).</v>
      </c>
      <c r="F28" s="7" t="s">
        <v>246</v>
      </c>
      <c r="G28" s="7" t="s">
        <v>200</v>
      </c>
    </row>
    <row r="29" spans="1:7" x14ac:dyDescent="0.35">
      <c r="A29" s="7" t="s">
        <v>202</v>
      </c>
      <c r="B29" s="7" t="s">
        <v>254</v>
      </c>
      <c r="C29" s="7"/>
      <c r="D29" s="15" t="str">
        <f>VLOOKUP(A29,Audit_SMART!$A$1:$D$45,3,FALSE)</f>
        <v>Part du CA provenant des missions packagées pour la filière.</v>
      </c>
      <c r="E29" s="7" t="str">
        <f>VLOOKUP(A29,Audit_SMART!$A$1:$D$45,4,FALSE)</f>
        <v>CA missions packagées (filière) / CA total (filière).</v>
      </c>
      <c r="F29" s="7" t="s">
        <v>246</v>
      </c>
      <c r="G29" s="7" t="s">
        <v>204</v>
      </c>
    </row>
    <row r="30" spans="1:7" x14ac:dyDescent="0.35">
      <c r="A30" s="7" t="s">
        <v>207</v>
      </c>
      <c r="B30" s="7" t="s">
        <v>254</v>
      </c>
      <c r="C30" s="7"/>
      <c r="D30" s="15" t="str">
        <f>VLOOKUP(A30,Audit_SMART!$A$1:$D$45,3,FALSE)</f>
        <v>Part de la marge brute issue des missions packagées dans la filière.</v>
      </c>
      <c r="E30" s="7" t="str">
        <f>VLOOKUP(A30,Audit_SMART!$A$1:$D$45,4,FALSE)</f>
        <v>Marge brute packagée (filière) / Marge brute totale (filière).</v>
      </c>
      <c r="F30" s="7" t="s">
        <v>246</v>
      </c>
      <c r="G30" s="7" t="s">
        <v>209</v>
      </c>
    </row>
    <row r="31" spans="1:7" x14ac:dyDescent="0.35">
      <c r="A31" s="7" t="s">
        <v>212</v>
      </c>
      <c r="B31" s="7" t="s">
        <v>254</v>
      </c>
      <c r="C31" s="7"/>
      <c r="D31" s="15" t="str">
        <f>VLOOKUP(A31,Audit_SMART!$A$1:$D$45,3,FALSE)</f>
        <v>Comparaison de la rentabilité packagé vs régie au sein de la filière.</v>
      </c>
      <c r="E31" s="7" t="str">
        <f>VLOOKUP(A31,Audit_SMART!$A$1:$D$45,4,FALSE)</f>
        <v>Marge moyenne packagée / Marge moyenne régie (filière).</v>
      </c>
      <c r="F31" s="7" t="s">
        <v>246</v>
      </c>
      <c r="G31" s="7" t="s">
        <v>214</v>
      </c>
    </row>
    <row r="32" spans="1:7" x14ac:dyDescent="0.35">
      <c r="A32" s="7" t="s">
        <v>218</v>
      </c>
      <c r="B32" s="7" t="s">
        <v>254</v>
      </c>
      <c r="C32" s="7"/>
      <c r="D32" s="15" t="str">
        <f>VLOOKUP(A32,Audit_SMART!$A$1:$D$45,3,FALSE)</f>
        <v>Évolution du volume ou du CA des missions packagées dans la filière.</v>
      </c>
      <c r="E32" s="7" t="str">
        <f>VLOOKUP(A32,Audit_SMART!$A$1:$D$45,4,FALSE)</f>
        <v>(Nb missions packagées N – N-1) / N-1 (filière) ou (CA N – N-1) / N-1 (filière).</v>
      </c>
      <c r="F32" s="7" t="s">
        <v>246</v>
      </c>
      <c r="G32" s="7" t="s">
        <v>220</v>
      </c>
    </row>
    <row r="33" spans="1:7" x14ac:dyDescent="0.35">
      <c r="A33" s="7" t="s">
        <v>87</v>
      </c>
      <c r="B33" s="7" t="s">
        <v>254</v>
      </c>
      <c r="C33" s="7"/>
      <c r="D33" s="15" t="str">
        <f>VLOOKUP(A33,Audit_SMART!$A$1:$D$45,3,FALSE)</f>
        <v>Opportunités CDS détectées (filière).</v>
      </c>
      <c r="E33" s="7" t="str">
        <f>VLOOKUP(A33,Audit_SMART!$A$1:$D$45,4,FALSE)</f>
        <v>Comptage régies “éligibles CDS” (filière).</v>
      </c>
      <c r="F33" s="7" t="s">
        <v>249</v>
      </c>
      <c r="G33" s="7" t="s">
        <v>89</v>
      </c>
    </row>
    <row r="34" spans="1:7" x14ac:dyDescent="0.35">
      <c r="A34" s="7" t="s">
        <v>92</v>
      </c>
      <c r="B34" s="7" t="s">
        <v>254</v>
      </c>
      <c r="C34" s="7"/>
      <c r="D34" s="15" t="str">
        <f>VLOOKUP(A34,Audit_SMART!$A$1:$D$45,3,FALSE)</f>
        <v>Effort de transformation par filière.</v>
      </c>
      <c r="E34" s="7" t="str">
        <f>VLOOKUP(A34,Audit_SMART!$A$1:$D$45,4,FALSE)</f>
        <v>Comptage tentatives (filière).</v>
      </c>
      <c r="F34" s="7" t="s">
        <v>249</v>
      </c>
      <c r="G34" s="7" t="s">
        <v>94</v>
      </c>
    </row>
    <row r="35" spans="1:7" x14ac:dyDescent="0.35">
      <c r="A35" s="7" t="s">
        <v>98</v>
      </c>
      <c r="B35" s="7" t="s">
        <v>254</v>
      </c>
      <c r="C35" s="7"/>
      <c r="D35" s="15" t="str">
        <f>VLOOKUP(A35,Audit_SMART!$A$1:$D$45,3,FALSE)</f>
        <v>Succès de transformation (filière).</v>
      </c>
      <c r="E35" s="7" t="str">
        <f>VLOOKUP(A35,Audit_SMART!$A$1:$D$45,4,FALSE)</f>
        <v>Comptage bascules réussies (filière).</v>
      </c>
      <c r="F35" s="7" t="s">
        <v>249</v>
      </c>
      <c r="G35" s="7" t="s">
        <v>100</v>
      </c>
    </row>
    <row r="36" spans="1:7" x14ac:dyDescent="0.35">
      <c r="A36" s="7" t="s">
        <v>102</v>
      </c>
      <c r="B36" s="7" t="s">
        <v>254</v>
      </c>
      <c r="C36" s="7"/>
      <c r="D36" s="15" t="str">
        <f>VLOOKUP(A36,Audit_SMART!$A$1:$D$45,3,FALSE)</f>
        <v>Efficacité de transformation (filière).</v>
      </c>
      <c r="E36" s="7" t="str">
        <f>VLOOKUP(A36,Audit_SMART!$A$1:$D$45,4,FALSE)</f>
        <v>Bascules réussies / régies éligibles (filière).</v>
      </c>
      <c r="F36" s="7" t="s">
        <v>249</v>
      </c>
      <c r="G36" s="7" t="s">
        <v>104</v>
      </c>
    </row>
    <row r="37" spans="1:7" x14ac:dyDescent="0.35">
      <c r="A37" s="7" t="s">
        <v>106</v>
      </c>
      <c r="B37" s="7" t="s">
        <v>254</v>
      </c>
      <c r="C37" s="7"/>
      <c r="D37" s="15" t="str">
        <f>VLOOKUP(A37,Audit_SMART!$A$1:$D$45,3,FALSE)</f>
        <v>Impact financier des bascules par filière.</v>
      </c>
      <c r="E37" s="7" t="str">
        <f>VLOOKUP(A37,Audit_SMART!$A$1:$D$45,4,FALSE)</f>
        <v>Σ (CA CDS – CA régie) (filière).</v>
      </c>
      <c r="F37" s="7" t="s">
        <v>249</v>
      </c>
      <c r="G37" s="7" t="s">
        <v>108</v>
      </c>
    </row>
    <row r="38" spans="1:7" x14ac:dyDescent="0.35">
      <c r="A38" s="7" t="s">
        <v>111</v>
      </c>
      <c r="B38" s="7" t="s">
        <v>254</v>
      </c>
      <c r="C38" s="7"/>
      <c r="D38" s="15" t="str">
        <f>VLOOKUP(A38,Audit_SMART!$A$1:$D$45,3,FALSE)</f>
        <v>Analyse des causes d’échec par filière.</v>
      </c>
      <c r="E38" s="7" t="str">
        <f>VLOOKUP(A38,Audit_SMART!$A$1:$D$45,4,FALSE)</f>
        <v>% par motif.</v>
      </c>
      <c r="F38" s="7" t="s">
        <v>249</v>
      </c>
      <c r="G38" s="7" t="s">
        <v>113</v>
      </c>
    </row>
    <row r="39" spans="1:7" x14ac:dyDescent="0.35">
      <c r="A39" s="7" t="s">
        <v>51</v>
      </c>
      <c r="B39" s="7" t="s">
        <v>254</v>
      </c>
      <c r="C39" s="7"/>
      <c r="D39" s="16" t="str">
        <f>VLOOKUP(A39,Audit_SMART!$A$1:$D$45,3,FALSE)</f>
        <v>Conversion par filière.</v>
      </c>
      <c r="E39" s="7" t="str">
        <f>VLOOKUP(A39,Audit_SMART!$A$1:$D$45,4,FALSE)</f>
        <v>Missions gagnées / propositions (filière).</v>
      </c>
      <c r="F39" s="7" t="s">
        <v>243</v>
      </c>
      <c r="G39" s="7" t="s">
        <v>53</v>
      </c>
    </row>
    <row r="40" spans="1:7" x14ac:dyDescent="0.35">
      <c r="A40" s="7" t="s">
        <v>121</v>
      </c>
      <c r="B40" s="7" t="s">
        <v>254</v>
      </c>
      <c r="C40" s="7"/>
      <c r="D40" s="15" t="str">
        <f>VLOOKUP(A40,Audit_SMART!$A$1:$D$45,3,FALSE)</f>
        <v>Lien délai ↔ succès par filière.</v>
      </c>
      <c r="E40" s="7" t="str">
        <f>VLOOKUP(A40,Audit_SMART!$A$1:$D$45,4,FALSE)</f>
        <v>Taux de succès par tranche (filière).</v>
      </c>
      <c r="F40" s="7" t="s">
        <v>243</v>
      </c>
      <c r="G40" s="7" t="s">
        <v>123</v>
      </c>
    </row>
    <row r="41" spans="1:7" x14ac:dyDescent="0.35">
      <c r="A41" s="7" t="s">
        <v>56</v>
      </c>
      <c r="B41" s="7" t="s">
        <v>254</v>
      </c>
      <c r="C41" s="7"/>
      <c r="D41" s="15" t="str">
        <f>VLOOKUP(A41,Audit_SMART!$A$1:$D$45,3,FALSE)</f>
        <v>Efficacité soutenance par filière.</v>
      </c>
      <c r="E41" s="7" t="str">
        <f>VLOOKUP(A41,Audit_SMART!$A$1:$D$45,4,FALSE)</f>
        <v>Missions gagnées / soutenances (filière).</v>
      </c>
      <c r="F41" s="7" t="s">
        <v>244</v>
      </c>
      <c r="G41" s="7" t="s">
        <v>58</v>
      </c>
    </row>
    <row r="42" spans="1:7" x14ac:dyDescent="0.35">
      <c r="A42" s="7" t="s">
        <v>35</v>
      </c>
      <c r="B42" s="7" t="s">
        <v>254</v>
      </c>
      <c r="C42" s="7"/>
      <c r="D42" s="16" t="str">
        <f>VLOOKUP(A42,Audit_SMART!$A$1:$D$45,3,FALSE)</f>
        <v>Réactivité de réponse par filière.</v>
      </c>
      <c r="E42" s="7" t="str">
        <f>VLOOKUP(A42,Audit_SMART!$A$1:$D$45,4,FALSE)</f>
        <v>Réponses envoyées / besoins exprimés (filière).</v>
      </c>
      <c r="F42" s="7" t="s">
        <v>242</v>
      </c>
      <c r="G42" s="7" t="s">
        <v>37</v>
      </c>
    </row>
    <row r="43" spans="1:7" x14ac:dyDescent="0.35">
      <c r="A43" s="7" t="s">
        <v>41</v>
      </c>
      <c r="B43" s="7" t="s">
        <v>254</v>
      </c>
      <c r="C43" s="7"/>
      <c r="D43" s="15" t="str">
        <f>VLOOKUP(A43,Audit_SMART!$A$1:$D$45,3,FALSE)</f>
        <v>Pertinence perçue par filière.</v>
      </c>
      <c r="E43" s="7" t="str">
        <f>VLOOKUP(A43,Audit_SMART!$A$1:$D$45,4,FALSE)</f>
        <v>Réponses avec retour / besoins exprimés (filière).</v>
      </c>
      <c r="F43" s="7" t="s">
        <v>242</v>
      </c>
      <c r="G43" s="7" t="s">
        <v>43</v>
      </c>
    </row>
    <row r="44" spans="1:7" x14ac:dyDescent="0.35">
      <c r="A44" s="7" t="s">
        <v>117</v>
      </c>
      <c r="B44" s="7" t="s">
        <v>254</v>
      </c>
      <c r="C44" s="7"/>
      <c r="D44" s="7" t="str">
        <f>VLOOKUP(A44,Audit_SMART!$A$1:$D$45,3,FALSE)</f>
        <v>Réactivité AO par filière.</v>
      </c>
      <c r="E44" s="7" t="str">
        <f>VLOOKUP(A44,Audit_SMART!$A$1:$D$45,4,FALSE)</f>
        <v>Date réponse – date réception (moyenne) (filière).</v>
      </c>
      <c r="F44" s="7" t="s">
        <v>242</v>
      </c>
      <c r="G44" s="7" t="s">
        <v>119</v>
      </c>
    </row>
    <row r="45" spans="1:7" x14ac:dyDescent="0.35">
      <c r="A45" s="7" t="s">
        <v>141</v>
      </c>
      <c r="B45" s="7" t="s">
        <v>254</v>
      </c>
      <c r="C45" s="7"/>
      <c r="D45" s="16" t="str">
        <f>VLOOKUP(A45,Audit_SMART!$A$1:$D$45,3,FALSE)</f>
        <v>Cartographie des postes récurrents par filière.</v>
      </c>
      <c r="E45" s="7" t="str">
        <f>VLOOKUP(A45,Audit_SMART!$A$1:$D$45,4,FALSE)</f>
        <v>Comptage typologies récurrentes actives.</v>
      </c>
      <c r="F45" s="7" t="s">
        <v>250</v>
      </c>
      <c r="G45" s="7" t="s">
        <v>143</v>
      </c>
    </row>
  </sheetData>
  <autoFilter ref="A1:G45" xr:uid="{1B7FBD28-1396-4258-896F-9C0A8CE9B129}"/>
  <sortState xmlns:xlrd2="http://schemas.microsoft.com/office/spreadsheetml/2017/richdata2" ref="A2:H47">
    <sortCondition descending="1" ref="B2:B47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8.7265625" defaultRowHeight="14.5" x14ac:dyDescent="0.35"/>
  <cols>
    <col min="1" max="1" width="12" customWidth="1"/>
    <col min="2" max="2" width="21" customWidth="1"/>
    <col min="3" max="3" width="55.453125" bestFit="1" customWidth="1"/>
    <col min="4" max="4" width="6.54296875" bestFit="1" customWidth="1"/>
    <col min="5" max="5" width="13" customWidth="1"/>
  </cols>
  <sheetData>
    <row r="1" spans="1:5" x14ac:dyDescent="0.35">
      <c r="A1" s="2" t="s">
        <v>232</v>
      </c>
      <c r="B1" s="2" t="s">
        <v>4</v>
      </c>
      <c r="C1" s="2" t="s">
        <v>0</v>
      </c>
      <c r="D1" s="2" t="s">
        <v>233</v>
      </c>
      <c r="E1" s="2" t="s">
        <v>234</v>
      </c>
    </row>
    <row r="2" spans="1:5" x14ac:dyDescent="0.35">
      <c r="A2" s="11">
        <v>46002</v>
      </c>
      <c r="B2" s="7" t="s">
        <v>257</v>
      </c>
      <c r="C2" s="7" t="s">
        <v>24</v>
      </c>
      <c r="D2">
        <v>26</v>
      </c>
      <c r="E2" t="s">
        <v>276</v>
      </c>
    </row>
    <row r="3" spans="1:5" x14ac:dyDescent="0.35">
      <c r="A3" s="11">
        <v>46002</v>
      </c>
      <c r="B3" s="7" t="s">
        <v>257</v>
      </c>
      <c r="C3" s="7" t="s">
        <v>29</v>
      </c>
    </row>
    <row r="4" spans="1:5" x14ac:dyDescent="0.35">
      <c r="A4" s="11">
        <v>46002</v>
      </c>
      <c r="B4" s="7" t="s">
        <v>257</v>
      </c>
      <c r="C4" s="7" t="s">
        <v>125</v>
      </c>
    </row>
    <row r="5" spans="1:5" x14ac:dyDescent="0.35">
      <c r="A5" s="11">
        <v>46002</v>
      </c>
      <c r="B5" s="7" t="s">
        <v>257</v>
      </c>
      <c r="C5" s="7" t="s">
        <v>132</v>
      </c>
    </row>
    <row r="6" spans="1:5" x14ac:dyDescent="0.35">
      <c r="A6" s="11">
        <v>46002</v>
      </c>
      <c r="B6" s="7" t="s">
        <v>257</v>
      </c>
      <c r="C6" s="7" t="s">
        <v>135</v>
      </c>
    </row>
    <row r="7" spans="1:5" x14ac:dyDescent="0.35">
      <c r="A7" s="11">
        <v>46002</v>
      </c>
      <c r="B7" s="7" t="s">
        <v>257</v>
      </c>
      <c r="C7" s="7" t="s">
        <v>150</v>
      </c>
    </row>
    <row r="8" spans="1:5" x14ac:dyDescent="0.35">
      <c r="A8" s="11">
        <v>46002</v>
      </c>
      <c r="B8" s="7" t="s">
        <v>257</v>
      </c>
      <c r="C8" s="7" t="s">
        <v>156</v>
      </c>
    </row>
    <row r="9" spans="1:5" x14ac:dyDescent="0.35">
      <c r="A9" s="11">
        <v>46002</v>
      </c>
      <c r="B9" s="7" t="s">
        <v>257</v>
      </c>
      <c r="C9" s="7" t="s">
        <v>161</v>
      </c>
    </row>
    <row r="10" spans="1:5" x14ac:dyDescent="0.35">
      <c r="A10" s="11">
        <v>46002</v>
      </c>
      <c r="B10" s="7" t="s">
        <v>257</v>
      </c>
      <c r="C10" s="7" t="s">
        <v>165</v>
      </c>
    </row>
    <row r="11" spans="1:5" x14ac:dyDescent="0.35">
      <c r="A11" s="11">
        <v>46002</v>
      </c>
      <c r="B11" s="7" t="s">
        <v>257</v>
      </c>
      <c r="C11" s="7" t="s">
        <v>183</v>
      </c>
    </row>
    <row r="12" spans="1:5" x14ac:dyDescent="0.35">
      <c r="A12" s="11">
        <v>46002</v>
      </c>
      <c r="B12" s="7" t="s">
        <v>257</v>
      </c>
      <c r="C12" s="7" t="s">
        <v>190</v>
      </c>
    </row>
    <row r="13" spans="1:5" x14ac:dyDescent="0.35">
      <c r="A13" s="11">
        <v>46002</v>
      </c>
      <c r="B13" s="7" t="s">
        <v>257</v>
      </c>
      <c r="C13" s="7" t="s">
        <v>60</v>
      </c>
    </row>
    <row r="14" spans="1:5" x14ac:dyDescent="0.35">
      <c r="A14" s="11">
        <v>46002</v>
      </c>
      <c r="B14" s="7" t="s">
        <v>257</v>
      </c>
      <c r="C14" s="7" t="s">
        <v>64</v>
      </c>
    </row>
    <row r="15" spans="1:5" x14ac:dyDescent="0.35">
      <c r="A15" s="11">
        <v>46002</v>
      </c>
      <c r="B15" s="7" t="s">
        <v>257</v>
      </c>
      <c r="C15" s="7" t="s">
        <v>13</v>
      </c>
    </row>
    <row r="16" spans="1:5" x14ac:dyDescent="0.35">
      <c r="A16" s="11">
        <v>46002</v>
      </c>
      <c r="B16" s="7" t="s">
        <v>257</v>
      </c>
      <c r="C16" s="7" t="s">
        <v>46</v>
      </c>
    </row>
    <row r="17" spans="1:3" x14ac:dyDescent="0.35">
      <c r="A17" s="11">
        <v>46002</v>
      </c>
      <c r="B17" s="7" t="s">
        <v>257</v>
      </c>
      <c r="C17" s="7" t="s">
        <v>147</v>
      </c>
    </row>
    <row r="18" spans="1:3" x14ac:dyDescent="0.35">
      <c r="A18" s="11">
        <v>46002</v>
      </c>
      <c r="B18" s="7" t="s">
        <v>257</v>
      </c>
      <c r="C18" s="7" t="s">
        <v>179</v>
      </c>
    </row>
    <row r="19" spans="1:3" x14ac:dyDescent="0.35">
      <c r="A19" s="11">
        <v>46002</v>
      </c>
      <c r="B19" s="7" t="s">
        <v>257</v>
      </c>
      <c r="C19" s="7" t="s">
        <v>79</v>
      </c>
    </row>
    <row r="20" spans="1:3" x14ac:dyDescent="0.35">
      <c r="A20" s="11">
        <v>46002</v>
      </c>
      <c r="B20" s="7" t="s">
        <v>257</v>
      </c>
      <c r="C20" s="7" t="s">
        <v>68</v>
      </c>
    </row>
    <row r="21" spans="1:3" x14ac:dyDescent="0.35">
      <c r="A21" s="11">
        <v>46002</v>
      </c>
      <c r="B21" s="7" t="s">
        <v>257</v>
      </c>
      <c r="C21" s="7" t="s">
        <v>74</v>
      </c>
    </row>
    <row r="22" spans="1:3" x14ac:dyDescent="0.35">
      <c r="A22" s="11">
        <v>46002</v>
      </c>
      <c r="B22" s="7" t="s">
        <v>257</v>
      </c>
      <c r="C22" s="7" t="s">
        <v>198</v>
      </c>
    </row>
    <row r="23" spans="1:3" x14ac:dyDescent="0.35">
      <c r="A23" s="11">
        <v>46002</v>
      </c>
      <c r="B23" s="7" t="s">
        <v>257</v>
      </c>
      <c r="C23" s="7" t="s">
        <v>202</v>
      </c>
    </row>
    <row r="24" spans="1:3" x14ac:dyDescent="0.35">
      <c r="A24" s="11">
        <v>46002</v>
      </c>
      <c r="B24" s="7" t="s">
        <v>257</v>
      </c>
      <c r="C24" s="7" t="s">
        <v>207</v>
      </c>
    </row>
    <row r="25" spans="1:3" x14ac:dyDescent="0.35">
      <c r="A25" s="11">
        <v>46002</v>
      </c>
      <c r="B25" s="7" t="s">
        <v>257</v>
      </c>
      <c r="C25" s="7" t="s">
        <v>212</v>
      </c>
    </row>
    <row r="26" spans="1:3" x14ac:dyDescent="0.35">
      <c r="A26" s="11">
        <v>46002</v>
      </c>
      <c r="B26" s="7" t="s">
        <v>257</v>
      </c>
      <c r="C26" s="7" t="s">
        <v>218</v>
      </c>
    </row>
    <row r="27" spans="1:3" x14ac:dyDescent="0.35">
      <c r="A27" s="11">
        <v>46002</v>
      </c>
      <c r="B27" s="7" t="s">
        <v>257</v>
      </c>
      <c r="C27" s="7" t="s">
        <v>87</v>
      </c>
    </row>
    <row r="28" spans="1:3" x14ac:dyDescent="0.35">
      <c r="A28" s="11">
        <v>46002</v>
      </c>
      <c r="B28" s="7" t="s">
        <v>257</v>
      </c>
      <c r="C28" s="7" t="s">
        <v>92</v>
      </c>
    </row>
    <row r="29" spans="1:3" x14ac:dyDescent="0.35">
      <c r="A29" s="11">
        <v>46002</v>
      </c>
      <c r="B29" s="7" t="s">
        <v>257</v>
      </c>
      <c r="C29" s="7" t="s">
        <v>98</v>
      </c>
    </row>
    <row r="30" spans="1:3" x14ac:dyDescent="0.35">
      <c r="A30" s="11">
        <v>46002</v>
      </c>
      <c r="B30" s="7" t="s">
        <v>257</v>
      </c>
      <c r="C30" s="7" t="s">
        <v>102</v>
      </c>
    </row>
    <row r="31" spans="1:3" x14ac:dyDescent="0.35">
      <c r="A31" s="11">
        <v>46002</v>
      </c>
      <c r="B31" s="7" t="s">
        <v>257</v>
      </c>
      <c r="C31" s="7" t="s">
        <v>106</v>
      </c>
    </row>
    <row r="32" spans="1:3" x14ac:dyDescent="0.35">
      <c r="A32" s="11">
        <v>46002</v>
      </c>
      <c r="B32" s="7" t="s">
        <v>257</v>
      </c>
      <c r="C32" s="7" t="s">
        <v>111</v>
      </c>
    </row>
    <row r="33" spans="1:3" x14ac:dyDescent="0.35">
      <c r="A33" s="11">
        <v>46002</v>
      </c>
      <c r="B33" s="7" t="s">
        <v>257</v>
      </c>
      <c r="C33" s="7" t="s">
        <v>51</v>
      </c>
    </row>
    <row r="34" spans="1:3" x14ac:dyDescent="0.35">
      <c r="A34" s="11">
        <v>46002</v>
      </c>
      <c r="B34" s="7" t="s">
        <v>257</v>
      </c>
      <c r="C34" s="7" t="s">
        <v>121</v>
      </c>
    </row>
    <row r="35" spans="1:3" x14ac:dyDescent="0.35">
      <c r="A35" s="11">
        <v>46002</v>
      </c>
      <c r="B35" s="7" t="s">
        <v>257</v>
      </c>
      <c r="C35" s="7" t="s">
        <v>56</v>
      </c>
    </row>
    <row r="36" spans="1:3" x14ac:dyDescent="0.35">
      <c r="A36" s="11">
        <v>46002</v>
      </c>
      <c r="B36" s="7" t="s">
        <v>257</v>
      </c>
      <c r="C36" s="7" t="s">
        <v>35</v>
      </c>
    </row>
    <row r="37" spans="1:3" x14ac:dyDescent="0.35">
      <c r="A37" s="11">
        <v>46002</v>
      </c>
      <c r="B37" s="7" t="s">
        <v>257</v>
      </c>
      <c r="C37" s="7" t="s">
        <v>41</v>
      </c>
    </row>
    <row r="38" spans="1:3" x14ac:dyDescent="0.35">
      <c r="A38" s="11">
        <v>46002</v>
      </c>
      <c r="B38" s="7" t="s">
        <v>257</v>
      </c>
      <c r="C38" s="7" t="s">
        <v>117</v>
      </c>
    </row>
    <row r="39" spans="1:3" x14ac:dyDescent="0.35">
      <c r="A39" s="11">
        <v>46002</v>
      </c>
      <c r="B39" s="7" t="s">
        <v>257</v>
      </c>
      <c r="C39" s="7" t="s">
        <v>83</v>
      </c>
    </row>
    <row r="40" spans="1:3" x14ac:dyDescent="0.35">
      <c r="A40" s="11">
        <v>46002</v>
      </c>
      <c r="B40" s="7" t="s">
        <v>257</v>
      </c>
      <c r="C40" s="7" t="s">
        <v>129</v>
      </c>
    </row>
    <row r="41" spans="1:3" x14ac:dyDescent="0.35">
      <c r="A41" s="11">
        <v>46002</v>
      </c>
      <c r="B41" s="7" t="s">
        <v>257</v>
      </c>
      <c r="C41" s="7" t="s">
        <v>138</v>
      </c>
    </row>
    <row r="42" spans="1:3" x14ac:dyDescent="0.35">
      <c r="A42" s="11">
        <v>46002</v>
      </c>
      <c r="B42" s="7" t="s">
        <v>257</v>
      </c>
      <c r="C42" s="7" t="s">
        <v>172</v>
      </c>
    </row>
    <row r="43" spans="1:3" x14ac:dyDescent="0.35">
      <c r="A43" s="11">
        <v>46002</v>
      </c>
      <c r="B43" s="7" t="s">
        <v>257</v>
      </c>
      <c r="C43" s="7" t="s">
        <v>176</v>
      </c>
    </row>
    <row r="44" spans="1:3" x14ac:dyDescent="0.35">
      <c r="A44" s="11">
        <v>46002</v>
      </c>
      <c r="B44" s="7" t="s">
        <v>257</v>
      </c>
      <c r="C44" s="7" t="s">
        <v>194</v>
      </c>
    </row>
    <row r="45" spans="1:3" x14ac:dyDescent="0.35">
      <c r="A45" s="11">
        <v>46002</v>
      </c>
      <c r="B45" s="7" t="s">
        <v>257</v>
      </c>
      <c r="C45" s="7" t="s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5174-DF8F-48BB-9541-2A88133EB02A}">
  <dimension ref="A3:E46"/>
  <sheetViews>
    <sheetView tabSelected="1" topLeftCell="A13" workbookViewId="0">
      <selection activeCell="E29" sqref="E29"/>
    </sheetView>
  </sheetViews>
  <sheetFormatPr baseColWidth="10" defaultRowHeight="14.5" x14ac:dyDescent="0.35"/>
  <cols>
    <col min="1" max="1" width="20.1796875" bestFit="1" customWidth="1"/>
    <col min="2" max="2" width="22.81640625" customWidth="1"/>
    <col min="3" max="3" width="80" bestFit="1" customWidth="1"/>
    <col min="5" max="5" width="80.26953125" bestFit="1" customWidth="1"/>
  </cols>
  <sheetData>
    <row r="3" spans="1:5" x14ac:dyDescent="0.35">
      <c r="A3" s="17" t="s">
        <v>269</v>
      </c>
      <c r="B3" t="s">
        <v>270</v>
      </c>
    </row>
    <row r="4" spans="1:5" x14ac:dyDescent="0.35">
      <c r="A4" s="18" t="s">
        <v>254</v>
      </c>
      <c r="B4" s="19">
        <v>25</v>
      </c>
      <c r="C4" s="20" t="s">
        <v>272</v>
      </c>
    </row>
    <row r="5" spans="1:5" x14ac:dyDescent="0.35">
      <c r="A5" s="18" t="s">
        <v>252</v>
      </c>
      <c r="B5" s="19">
        <v>11</v>
      </c>
      <c r="C5" s="20" t="s">
        <v>273</v>
      </c>
    </row>
    <row r="6" spans="1:5" x14ac:dyDescent="0.35">
      <c r="A6" s="18" t="s">
        <v>255</v>
      </c>
      <c r="B6" s="19">
        <v>6</v>
      </c>
      <c r="C6" s="20" t="s">
        <v>275</v>
      </c>
    </row>
    <row r="7" spans="1:5" x14ac:dyDescent="0.35">
      <c r="A7" s="18" t="s">
        <v>253</v>
      </c>
      <c r="B7" s="19">
        <v>2</v>
      </c>
      <c r="C7" s="20" t="s">
        <v>274</v>
      </c>
    </row>
    <row r="8" spans="1:5" x14ac:dyDescent="0.35">
      <c r="A8" s="18" t="s">
        <v>271</v>
      </c>
      <c r="B8" s="19">
        <v>44</v>
      </c>
    </row>
    <row r="13" spans="1:5" ht="25.5" x14ac:dyDescent="0.35">
      <c r="C13" s="21" t="s">
        <v>290</v>
      </c>
      <c r="E13" s="21" t="s">
        <v>291</v>
      </c>
    </row>
    <row r="14" spans="1:5" x14ac:dyDescent="0.35">
      <c r="C14" s="22"/>
      <c r="E14" s="22"/>
    </row>
    <row r="15" spans="1:5" x14ac:dyDescent="0.35">
      <c r="C15" s="22" t="s">
        <v>283</v>
      </c>
      <c r="E15" s="22" t="s">
        <v>277</v>
      </c>
    </row>
    <row r="16" spans="1:5" x14ac:dyDescent="0.35">
      <c r="C16" s="22" t="s">
        <v>278</v>
      </c>
      <c r="E16" s="22" t="s">
        <v>278</v>
      </c>
    </row>
    <row r="17" spans="3:5" x14ac:dyDescent="0.35">
      <c r="C17" s="22"/>
      <c r="E17" s="22"/>
    </row>
    <row r="18" spans="3:5" x14ac:dyDescent="0.35">
      <c r="C18" s="22" t="s">
        <v>284</v>
      </c>
      <c r="E18" s="22" t="s">
        <v>279</v>
      </c>
    </row>
    <row r="19" spans="3:5" x14ac:dyDescent="0.35">
      <c r="C19" s="22" t="s">
        <v>285</v>
      </c>
      <c r="E19" s="22" t="s">
        <v>280</v>
      </c>
    </row>
    <row r="20" spans="3:5" x14ac:dyDescent="0.35">
      <c r="C20" s="22" t="s">
        <v>286</v>
      </c>
      <c r="E20" s="22" t="s">
        <v>281</v>
      </c>
    </row>
    <row r="21" spans="3:5" x14ac:dyDescent="0.35">
      <c r="C21" s="22" t="s">
        <v>287</v>
      </c>
      <c r="E21" s="22" t="s">
        <v>282</v>
      </c>
    </row>
    <row r="24" spans="3:5" ht="27" x14ac:dyDescent="0.35">
      <c r="C24" s="22" t="s">
        <v>288</v>
      </c>
      <c r="E24" s="23" t="s">
        <v>289</v>
      </c>
    </row>
    <row r="29" spans="3:5" x14ac:dyDescent="0.35">
      <c r="E29" s="28" t="s">
        <v>307</v>
      </c>
    </row>
    <row r="30" spans="3:5" x14ac:dyDescent="0.35">
      <c r="E30" s="25" t="s">
        <v>292</v>
      </c>
    </row>
    <row r="31" spans="3:5" x14ac:dyDescent="0.35">
      <c r="E31" s="25" t="s">
        <v>293</v>
      </c>
    </row>
    <row r="32" spans="3:5" x14ac:dyDescent="0.35">
      <c r="E32" s="25" t="s">
        <v>294</v>
      </c>
    </row>
    <row r="33" spans="5:5" x14ac:dyDescent="0.35">
      <c r="E33" s="22" t="s">
        <v>295</v>
      </c>
    </row>
    <row r="34" spans="5:5" x14ac:dyDescent="0.35">
      <c r="E34" s="26" t="s">
        <v>296</v>
      </c>
    </row>
    <row r="35" spans="5:5" x14ac:dyDescent="0.35">
      <c r="E35" s="26" t="s">
        <v>297</v>
      </c>
    </row>
    <row r="36" spans="5:5" x14ac:dyDescent="0.35">
      <c r="E36" s="25" t="s">
        <v>298</v>
      </c>
    </row>
    <row r="39" spans="5:5" x14ac:dyDescent="0.35">
      <c r="E39" s="24" t="s">
        <v>306</v>
      </c>
    </row>
    <row r="40" spans="5:5" x14ac:dyDescent="0.35">
      <c r="E40" s="25" t="s">
        <v>299</v>
      </c>
    </row>
    <row r="41" spans="5:5" x14ac:dyDescent="0.35">
      <c r="E41" s="26" t="s">
        <v>300</v>
      </c>
    </row>
    <row r="42" spans="5:5" x14ac:dyDescent="0.35">
      <c r="E42" s="27" t="s">
        <v>301</v>
      </c>
    </row>
    <row r="43" spans="5:5" x14ac:dyDescent="0.35">
      <c r="E43" s="27" t="s">
        <v>302</v>
      </c>
    </row>
    <row r="44" spans="5:5" x14ac:dyDescent="0.35">
      <c r="E44" s="26" t="s">
        <v>303</v>
      </c>
    </row>
    <row r="45" spans="5:5" x14ac:dyDescent="0.35">
      <c r="E45" s="27" t="s">
        <v>304</v>
      </c>
    </row>
    <row r="46" spans="5:5" x14ac:dyDescent="0.35">
      <c r="E46" s="27" t="s">
        <v>305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>
      <selection activeCell="B18" sqref="B18"/>
    </sheetView>
  </sheetViews>
  <sheetFormatPr baseColWidth="10" defaultColWidth="8.7265625" defaultRowHeight="14.5" x14ac:dyDescent="0.35"/>
  <cols>
    <col min="1" max="1" width="90" bestFit="1" customWidth="1"/>
  </cols>
  <sheetData>
    <row r="1" spans="1:1" x14ac:dyDescent="0.35">
      <c r="A1" t="s">
        <v>235</v>
      </c>
    </row>
    <row r="2" spans="1:1" x14ac:dyDescent="0.35">
      <c r="A2" t="s">
        <v>236</v>
      </c>
    </row>
    <row r="3" spans="1:1" x14ac:dyDescent="0.35">
      <c r="A3" t="s">
        <v>237</v>
      </c>
    </row>
    <row r="8" spans="1:1" x14ac:dyDescent="0.35">
      <c r="A8" t="s">
        <v>266</v>
      </c>
    </row>
    <row r="9" spans="1:1" x14ac:dyDescent="0.35">
      <c r="A9" t="s">
        <v>267</v>
      </c>
    </row>
    <row r="10" spans="1:1" x14ac:dyDescent="0.35">
      <c r="A10" t="s">
        <v>268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769db9f-40eb-466b-9652-c86f67d2278d}" enabled="1" method="Standard" siteId="{23762f27-43eb-474f-905f-c77416796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Catalogue_KPI</vt:lpstr>
      <vt:lpstr>Audit_SMART</vt:lpstr>
      <vt:lpstr>Mapping Boond</vt:lpstr>
      <vt:lpstr>Saisie_Donnees</vt:lpstr>
      <vt:lpstr>Taxomonie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Napé KONA</cp:lastModifiedBy>
  <dcterms:created xsi:type="dcterms:W3CDTF">2025-12-10T14:57:50Z</dcterms:created>
  <dcterms:modified xsi:type="dcterms:W3CDTF">2025-12-11T10:19:42Z</dcterms:modified>
</cp:coreProperties>
</file>